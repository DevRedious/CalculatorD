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s Calculator v1" sheetId="1" r:id="rId5"/>
    <sheet state="visible" name="Key Calculator v1" sheetId="2" r:id="rId6"/>
    <sheet state="visible" name="Ancient Token Calculator v1" sheetId="3" r:id="rId7"/>
    <sheet state="visible" name="Feuille1" sheetId="4" r:id="rId8"/>
  </sheets>
  <definedNames/>
  <calcPr/>
</workbook>
</file>

<file path=xl/sharedStrings.xml><?xml version="1.0" encoding="utf-8"?>
<sst xmlns="http://schemas.openxmlformats.org/spreadsheetml/2006/main" count="271" uniqueCount="123">
  <si>
    <t>T4</t>
  </si>
  <si>
    <t>T5</t>
  </si>
  <si>
    <t>T6</t>
  </si>
  <si>
    <t>T7</t>
  </si>
  <si>
    <t>T8</t>
  </si>
  <si>
    <t>T9</t>
  </si>
  <si>
    <t>TOTAL</t>
  </si>
  <si>
    <t>Compos</t>
  </si>
  <si>
    <t>Abyssal</t>
  </si>
  <si>
    <t>Celestial</t>
  </si>
  <si>
    <t>Nidhogg</t>
  </si>
  <si>
    <t>Chaos (rouge)</t>
  </si>
  <si>
    <t>Order (blue)</t>
  </si>
  <si>
    <t xml:space="preserve">Normal </t>
  </si>
  <si>
    <t>Giga</t>
  </si>
  <si>
    <t xml:space="preserve">Dodo Bleu </t>
  </si>
  <si>
    <t>Dodo Rouge</t>
  </si>
  <si>
    <t>W. Reaper</t>
  </si>
  <si>
    <t>W. Giga</t>
  </si>
  <si>
    <t>Ascension</t>
  </si>
  <si>
    <t>Descension</t>
  </si>
  <si>
    <t xml:space="preserve">1 Seal </t>
  </si>
  <si>
    <t xml:space="preserve">2 Seal </t>
  </si>
  <si>
    <t xml:space="preserve">3 Seal </t>
  </si>
  <si>
    <t xml:space="preserve">4 Seal </t>
  </si>
  <si>
    <t>Cube</t>
  </si>
  <si>
    <t>Artefact</t>
  </si>
  <si>
    <t xml:space="preserve">Abyssal Warfare Key </t>
  </si>
  <si>
    <t>Celestial Warfare key</t>
  </si>
  <si>
    <t>Ancient token Cluster</t>
  </si>
  <si>
    <t>Combat Essence</t>
  </si>
  <si>
    <t>Devilish Soul</t>
  </si>
  <si>
    <t>Divine Soul</t>
  </si>
  <si>
    <t>Devilish Hide</t>
  </si>
  <si>
    <t>Divine Hide</t>
  </si>
  <si>
    <t>Excellent Soul</t>
  </si>
  <si>
    <t>Unreal Essence</t>
  </si>
  <si>
    <t>Black Pearl</t>
  </si>
  <si>
    <t>Devilish Essence</t>
  </si>
  <si>
    <t>Divin Essence</t>
  </si>
  <si>
    <t>Abyssal Energy</t>
  </si>
  <si>
    <t>Celestial Energy</t>
  </si>
  <si>
    <t>Chaos Warchief Soul</t>
  </si>
  <si>
    <t>Order Warchief Soul</t>
  </si>
  <si>
    <t>Bionic Essence</t>
  </si>
  <si>
    <t>Bionic Soul</t>
  </si>
  <si>
    <t>Descended Ingot</t>
  </si>
  <si>
    <t>Ascended Warden Essence</t>
  </si>
  <si>
    <t>Descended Warden essence</t>
  </si>
  <si>
    <t>Luminous Essence</t>
  </si>
  <si>
    <t>Ancient Essence (Os)</t>
  </si>
  <si>
    <t>Bionic Gigant Essence</t>
  </si>
  <si>
    <t>Descended Essence</t>
  </si>
  <si>
    <t>Excellent Essence</t>
  </si>
  <si>
    <t>Warden Rex Trophy</t>
  </si>
  <si>
    <t>Warden Spino Trophy</t>
  </si>
  <si>
    <t>Warden Theri Trophy</t>
  </si>
  <si>
    <t>Warden Lizard Trophy</t>
  </si>
  <si>
    <t>Supreme Warden Giga Trophy</t>
  </si>
  <si>
    <t>Supreme Warden Reaper Trophy</t>
  </si>
  <si>
    <t>Soul of Ascension God</t>
  </si>
  <si>
    <t>Soul of Descension God</t>
  </si>
  <si>
    <t>Seal Fragments</t>
  </si>
  <si>
    <t>Nombre :</t>
  </si>
  <si>
    <t xml:space="preserve">CRAFT NORMAL </t>
  </si>
  <si>
    <t>CRAFT GOD KEY</t>
  </si>
  <si>
    <t>Abyssal (6) + Celestial (6)</t>
  </si>
  <si>
    <t>Abyssal Carcha Trophy</t>
  </si>
  <si>
    <t>Combien de Clef veux tu ? (Normal craft)</t>
  </si>
  <si>
    <t>Abyssal Dodoreaper Trophy</t>
  </si>
  <si>
    <t>Equivaut à :</t>
  </si>
  <si>
    <t>Abyssal Dodorexy Trophy</t>
  </si>
  <si>
    <t xml:space="preserve">Nombre : </t>
  </si>
  <si>
    <t>God Key</t>
  </si>
  <si>
    <t>Abyssal Drake Trophy</t>
  </si>
  <si>
    <t>Abyssal Indominus Rex Trophy</t>
  </si>
  <si>
    <t>Abyssal Manticore Trophy</t>
  </si>
  <si>
    <t>Abyssal Spider Trophy</t>
  </si>
  <si>
    <t xml:space="preserve">God Key </t>
  </si>
  <si>
    <t>Abyssal Element</t>
  </si>
  <si>
    <t>Celestial Gigant Trophy</t>
  </si>
  <si>
    <t xml:space="preserve">Celestial Gorilla Trophy </t>
  </si>
  <si>
    <t>Celestial Rhynio Trophy</t>
  </si>
  <si>
    <t>Celestial Rock Golem trophy</t>
  </si>
  <si>
    <t>Celestial Rock Drake Trophy</t>
  </si>
  <si>
    <t>Celestial Titano Trophy</t>
  </si>
  <si>
    <t>Celestial Wyvern Trophy</t>
  </si>
  <si>
    <t>Celestial Element</t>
  </si>
  <si>
    <t>Ancient Token Cluster</t>
  </si>
  <si>
    <t>Element</t>
  </si>
  <si>
    <t xml:space="preserve">Black Pearl </t>
  </si>
  <si>
    <t>Oracle Essence</t>
  </si>
  <si>
    <t xml:space="preserve">Abyssal Carcha Soul </t>
  </si>
  <si>
    <t>Abyssal Dodoreaper Soul</t>
  </si>
  <si>
    <t>Abyssal Dodorexy Soul</t>
  </si>
  <si>
    <t>Abyssal Drake Soul</t>
  </si>
  <si>
    <t>Abyssal Indominus Rex Soul</t>
  </si>
  <si>
    <t>Abyssal Manticore Soul</t>
  </si>
  <si>
    <t xml:space="preserve">Abyssal Spider Soul </t>
  </si>
  <si>
    <t>Celestial Gigant Soul</t>
  </si>
  <si>
    <t>Celestial Gorilla Soul</t>
  </si>
  <si>
    <t>Celestial Rhynio Soul</t>
  </si>
  <si>
    <t>Celestial Rock Golem Soul</t>
  </si>
  <si>
    <t>Celestial Rock Drake Soul</t>
  </si>
  <si>
    <t>Celestial Titano Soul</t>
  </si>
  <si>
    <t>Celestial Wyvern Soul</t>
  </si>
  <si>
    <t xml:space="preserve">Combien veux tu d'Ancient Token Cluster ? </t>
  </si>
  <si>
    <t xml:space="preserve">Tu changes ici </t>
  </si>
  <si>
    <t>Raptor Token</t>
  </si>
  <si>
    <t>Nombre de chaque mob à faire = 
(En moyenne)</t>
  </si>
  <si>
    <t>Carno Token</t>
  </si>
  <si>
    <t>Bronto Token</t>
  </si>
  <si>
    <t>Giga Token</t>
  </si>
  <si>
    <t>Rex Token</t>
  </si>
  <si>
    <t>Trice Token</t>
  </si>
  <si>
    <t>Stego Token</t>
  </si>
  <si>
    <t>Quetz Token</t>
  </si>
  <si>
    <t>Wyvern Token</t>
  </si>
  <si>
    <t>Ancient Dino</t>
  </si>
  <si>
    <t>compos</t>
  </si>
  <si>
    <t>Token</t>
  </si>
  <si>
    <t>Artifact</t>
  </si>
  <si>
    <t>Abyssal + Celestial (12)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</si>
</sst>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sz val="16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3.0"/>
      <color theme="1"/>
      <name val="Arial"/>
      <scheme val="minor"/>
    </font>
    <font>
      <b/>
      <i/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3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medium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8" fontId="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9" fillId="8" fontId="4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readingOrder="0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13" fillId="3" fontId="1" numFmtId="0" xfId="0" applyAlignment="1" applyBorder="1" applyFont="1">
      <alignment horizontal="center" readingOrder="0" shrinkToFit="0" vertical="center" wrapText="1"/>
    </xf>
    <xf borderId="12" fillId="3" fontId="1" numFmtId="0" xfId="0" applyAlignment="1" applyBorder="1" applyFont="1">
      <alignment horizontal="center" readingOrder="0" shrinkToFit="0" vertical="center" wrapText="1"/>
    </xf>
    <xf borderId="11" fillId="4" fontId="1" numFmtId="0" xfId="0" applyAlignment="1" applyBorder="1" applyFont="1">
      <alignment horizontal="center" readingOrder="0" shrinkToFit="0" vertical="center" wrapText="1"/>
    </xf>
    <xf borderId="14" fillId="4" fontId="1" numFmtId="0" xfId="0" applyAlignment="1" applyBorder="1" applyFont="1">
      <alignment horizontal="center" readingOrder="0" shrinkToFit="0" vertical="center" wrapText="1"/>
    </xf>
    <xf borderId="11" fillId="5" fontId="1" numFmtId="0" xfId="0" applyAlignment="1" applyBorder="1" applyFont="1">
      <alignment horizontal="center" readingOrder="0" shrinkToFit="0" vertical="center" wrapText="1"/>
    </xf>
    <xf borderId="13" fillId="5" fontId="1" numFmtId="0" xfId="0" applyAlignment="1" applyBorder="1" applyFont="1">
      <alignment horizontal="center" readingOrder="0" shrinkToFit="0" vertical="center" wrapText="1"/>
    </xf>
    <xf borderId="14" fillId="5" fontId="1" numFmtId="0" xfId="0" applyAlignment="1" applyBorder="1" applyFont="1">
      <alignment horizontal="center" readingOrder="0" shrinkToFit="0" vertical="center" wrapText="1"/>
    </xf>
    <xf borderId="11" fillId="6" fontId="1" numFmtId="0" xfId="0" applyAlignment="1" applyBorder="1" applyFont="1">
      <alignment horizontal="center" readingOrder="0" shrinkToFit="0" vertical="center" wrapText="1"/>
    </xf>
    <xf borderId="14" fillId="6" fontId="1" numFmtId="0" xfId="0" applyAlignment="1" applyBorder="1" applyFont="1">
      <alignment horizontal="center" readingOrder="0" shrinkToFit="0" vertical="center" wrapText="1"/>
    </xf>
    <xf borderId="11" fillId="7" fontId="1" numFmtId="0" xfId="0" applyAlignment="1" applyBorder="1" applyFont="1">
      <alignment horizontal="center" readingOrder="0" shrinkToFit="0" vertical="center" wrapText="1"/>
    </xf>
    <xf borderId="13" fillId="7" fontId="1" numFmtId="0" xfId="0" applyAlignment="1" applyBorder="1" applyFont="1">
      <alignment horizontal="center" readingOrder="0" shrinkToFit="0" vertical="center" wrapText="1"/>
    </xf>
    <xf borderId="15" fillId="8" fontId="4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11" fillId="5" fontId="1" numFmtId="0" xfId="0" applyAlignment="1" applyBorder="1" applyFont="1">
      <alignment horizontal="center" shrinkToFit="0" vertical="center" wrapText="1"/>
    </xf>
    <xf borderId="13" fillId="5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horizontal="center" shrinkToFit="0" vertical="center" wrapText="1"/>
    </xf>
    <xf borderId="11" fillId="6" fontId="1" numFmtId="0" xfId="0" applyAlignment="1" applyBorder="1" applyFont="1">
      <alignment horizontal="center" shrinkToFit="0" vertical="center" wrapText="1"/>
    </xf>
    <xf borderId="14" fillId="6" fontId="1" numFmtId="0" xfId="0" applyAlignment="1" applyBorder="1" applyFont="1">
      <alignment horizontal="center" shrinkToFit="0" vertical="center" wrapText="1"/>
    </xf>
    <xf borderId="11" fillId="7" fontId="1" numFmtId="0" xfId="0" applyAlignment="1" applyBorder="1" applyFont="1">
      <alignment horizontal="center" shrinkToFit="0" vertical="center" wrapText="1"/>
    </xf>
    <xf borderId="13" fillId="7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5" fillId="9" fontId="4" numFmtId="0" xfId="0" applyAlignment="1" applyBorder="1" applyFill="1" applyFont="1">
      <alignment horizontal="center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readingOrder="0" shrinkToFit="0" vertical="center" wrapText="1"/>
    </xf>
    <xf borderId="10" fillId="5" fontId="1" numFmtId="0" xfId="0" applyAlignment="1" applyBorder="1" applyFont="1">
      <alignment horizontal="center" readingOrder="0" shrinkToFit="0" vertical="center" wrapText="1"/>
    </xf>
    <xf borderId="10" fillId="9" fontId="1" numFmtId="0" xfId="0" applyAlignment="1" applyBorder="1" applyFont="1">
      <alignment horizontal="center" readingOrder="0" shrinkToFit="0" vertical="center" wrapText="1"/>
    </xf>
    <xf borderId="10" fillId="10" fontId="1" numFmtId="0" xfId="0" applyAlignment="1" applyBorder="1" applyFill="1" applyFont="1">
      <alignment horizontal="center" readingOrder="0" shrinkToFit="0" vertical="center" wrapText="1"/>
    </xf>
    <xf borderId="10" fillId="6" fontId="1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readingOrder="0" shrinkToFit="0" vertical="center" wrapText="1"/>
    </xf>
    <xf borderId="16" fillId="8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7" fillId="11" fontId="1" numFmtId="0" xfId="0" applyAlignment="1" applyBorder="1" applyFill="1" applyFont="1">
      <alignment horizontal="center" readingOrder="0" shrinkToFit="0" vertical="center" wrapText="1"/>
    </xf>
    <xf borderId="0" fillId="9" fontId="5" numFmtId="0" xfId="0" applyFont="1"/>
    <xf borderId="0" fillId="9" fontId="1" numFmtId="0" xfId="0" applyAlignment="1" applyFont="1">
      <alignment horizontal="center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0" fillId="9" fontId="6" numFmtId="0" xfId="0" applyAlignment="1" applyFont="1">
      <alignment horizontal="center" shrinkToFit="0" wrapText="1"/>
    </xf>
    <xf borderId="0" fillId="9" fontId="3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9" fontId="3" numFmtId="0" xfId="0" applyAlignment="1" applyFont="1">
      <alignment horizontal="center" shrinkToFit="0" vertical="center" wrapText="1"/>
    </xf>
    <xf borderId="0" fillId="9" fontId="7" numFmtId="0" xfId="0" applyFont="1"/>
    <xf borderId="0" fillId="9" fontId="6" numFmtId="0" xfId="0" applyAlignment="1" applyFont="1">
      <alignment readingOrder="0" vertical="bottom"/>
    </xf>
    <xf borderId="0" fillId="9" fontId="7" numFmtId="0" xfId="0" applyAlignment="1" applyFont="1">
      <alignment vertical="bottom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8" fillId="11" fontId="6" numFmtId="0" xfId="0" applyAlignment="1" applyBorder="1" applyFont="1">
      <alignment horizontal="center" shrinkToFit="0" wrapText="1"/>
    </xf>
    <xf borderId="19" fillId="0" fontId="2" numFmtId="0" xfId="0" applyBorder="1" applyFont="1"/>
    <xf borderId="19" fillId="11" fontId="6" numFmtId="0" xfId="0" applyAlignment="1" applyBorder="1" applyFont="1">
      <alignment horizontal="center" shrinkToFit="0" wrapText="1"/>
    </xf>
    <xf borderId="9" fillId="8" fontId="3" numFmtId="0" xfId="0" applyAlignment="1" applyBorder="1" applyFont="1">
      <alignment horizontal="center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20" fillId="6" fontId="1" numFmtId="0" xfId="0" applyAlignment="1" applyBorder="1" applyFont="1">
      <alignment horizontal="center" readingOrder="0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4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15" fillId="8" fontId="3" numFmtId="0" xfId="0" applyAlignment="1" applyBorder="1" applyFont="1">
      <alignment horizontal="center" shrinkToFit="0" vertical="center" wrapText="1"/>
    </xf>
    <xf borderId="23" fillId="6" fontId="1" numFmtId="0" xfId="0" applyAlignment="1" applyBorder="1" applyFont="1">
      <alignment horizontal="center" readingOrder="0" shrinkToFit="0" vertical="center" wrapText="1"/>
    </xf>
    <xf borderId="24" fillId="11" fontId="1" numFmtId="0" xfId="0" applyAlignment="1" applyBorder="1" applyFont="1">
      <alignment horizontal="center" readingOrder="0" shrinkToFit="0" vertical="center" wrapText="1"/>
    </xf>
    <xf borderId="19" fillId="11" fontId="1" numFmtId="0" xfId="0" applyAlignment="1" applyBorder="1" applyFont="1">
      <alignment horizontal="center" readingOrder="0" shrinkToFit="0" vertical="center" wrapText="1"/>
    </xf>
    <xf borderId="25" fillId="11" fontId="6" numFmtId="164" xfId="0" applyAlignment="1" applyBorder="1" applyFont="1" applyNumberFormat="1">
      <alignment horizontal="center" shrinkToFit="0" wrapText="1"/>
    </xf>
    <xf borderId="26" fillId="11" fontId="6" numFmtId="0" xfId="0" applyAlignment="1" applyBorder="1" applyFont="1">
      <alignment readingOrder="0" vertical="bottom"/>
    </xf>
    <xf borderId="6" fillId="3" fontId="1" numFmtId="0" xfId="0" applyAlignment="1" applyBorder="1" applyFont="1">
      <alignment horizontal="center" readingOrder="0" shrinkToFit="0" vertical="center" wrapText="1"/>
    </xf>
    <xf borderId="27" fillId="0" fontId="2" numFmtId="0" xfId="0" applyBorder="1" applyFont="1"/>
    <xf borderId="15" fillId="9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3" fillId="6" fontId="1" numFmtId="0" xfId="0" applyAlignment="1" applyBorder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11" fontId="8" numFmtId="0" xfId="0" applyAlignment="1" applyFont="1">
      <alignment horizontal="center" readingOrder="0" shrinkToFit="0" vertical="center" wrapText="1"/>
    </xf>
    <xf borderId="0" fillId="11" fontId="1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16" fillId="8" fontId="3" numFmtId="0" xfId="0" applyAlignment="1" applyBorder="1" applyFont="1">
      <alignment horizontal="center" shrinkToFit="0" vertical="center" wrapText="1"/>
    </xf>
    <xf borderId="28" fillId="6" fontId="1" numFmtId="0" xfId="0" applyAlignment="1" applyBorder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30" fillId="4" fontId="1" numFmtId="0" xfId="0" applyAlignment="1" applyBorder="1" applyFont="1">
      <alignment horizontal="center" readingOrder="0" shrinkToFit="0" vertical="center" wrapText="1"/>
    </xf>
    <xf borderId="17" fillId="11" fontId="4" numFmtId="0" xfId="0" applyAlignment="1" applyBorder="1" applyFont="1">
      <alignment horizontal="center" readingOrder="0" shrinkToFit="0" vertical="center" wrapText="1"/>
    </xf>
    <xf borderId="0" fillId="12" fontId="8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9" fontId="5" numFmtId="0" xfId="0" applyAlignment="1" applyFont="1">
      <alignment horizontal="center" shrinkToFit="0" vertical="center" wrapText="1"/>
    </xf>
    <xf borderId="0" fillId="12" fontId="1" numFmtId="0" xfId="0" applyAlignment="1" applyFont="1">
      <alignment horizontal="center" readingOrder="0" shrinkToFit="0" vertical="center" wrapText="1"/>
    </xf>
    <xf borderId="31" fillId="12" fontId="1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32" fillId="12" fontId="1" numFmtId="0" xfId="0" applyAlignment="1" applyBorder="1" applyFont="1">
      <alignment horizontal="center" readingOrder="0" shrinkToFit="0" vertical="center" wrapText="1"/>
    </xf>
    <xf borderId="0" fillId="9" fontId="6" numFmtId="164" xfId="0" applyAlignment="1" applyFont="1" applyNumberFormat="1">
      <alignment horizontal="center" shrinkToFit="0" vertical="center" wrapText="1"/>
    </xf>
    <xf borderId="0" fillId="9" fontId="6" numFmtId="0" xfId="0" applyAlignment="1" applyFont="1">
      <alignment horizontal="center" readingOrder="0" shrinkToFit="0" vertical="center" wrapText="1"/>
    </xf>
    <xf borderId="0" fillId="9" fontId="7" numFmtId="0" xfId="0" applyAlignment="1" applyFont="1">
      <alignment horizontal="center" shrinkToFit="0" vertical="center" wrapText="1"/>
    </xf>
    <xf borderId="33" fillId="12" fontId="1" numFmtId="0" xfId="0" applyAlignment="1" applyBorder="1" applyFont="1">
      <alignment horizontal="center" readingOrder="0" shrinkToFit="0" vertical="center" wrapText="1"/>
    </xf>
    <xf borderId="9" fillId="6" fontId="4" numFmtId="0" xfId="0" applyAlignment="1" applyBorder="1" applyFont="1">
      <alignment horizontal="center" readingOrder="0" shrinkToFit="0" vertical="center" wrapText="1"/>
    </xf>
    <xf borderId="15" fillId="6" fontId="4" numFmtId="0" xfId="0" applyAlignment="1" applyBorder="1" applyFont="1">
      <alignment horizontal="center" shrinkToFit="0" vertical="center" wrapText="1"/>
    </xf>
    <xf borderId="16" fillId="6" fontId="4" numFmtId="0" xfId="0" applyAlignment="1" applyBorder="1" applyFont="1">
      <alignment horizontal="center" shrinkToFit="0" vertical="center" wrapText="1"/>
    </xf>
    <xf borderId="34" fillId="12" fontId="1" numFmtId="0" xfId="0" applyAlignment="1" applyBorder="1" applyFont="1">
      <alignment horizontal="center" readingOrder="0" shrinkToFit="0" vertical="center" wrapText="1"/>
    </xf>
    <xf borderId="17" fillId="11" fontId="1" numFmtId="0" xfId="0" applyAlignment="1" applyBorder="1" applyFont="1">
      <alignment horizontal="center" readingOrder="0" shrinkToFit="0" vertical="center" wrapText="1"/>
    </xf>
    <xf borderId="13" fillId="6" fontId="1" numFmtId="0" xfId="0" applyAlignment="1" applyBorder="1" applyFont="1">
      <alignment horizontal="center" readingOrder="0" shrinkToFit="0" vertical="center" wrapText="1"/>
    </xf>
    <xf borderId="13" fillId="6" fontId="1" numFmtId="0" xfId="0" applyAlignment="1" applyBorder="1" applyFont="1">
      <alignment horizontal="center" shrinkToFit="0" vertical="center" wrapText="1"/>
    </xf>
    <xf borderId="24" fillId="11" fontId="6" numFmtId="0" xfId="0" applyAlignment="1" applyBorder="1" applyFont="1">
      <alignment horizontal="center" shrinkToFit="0" wrapText="1"/>
    </xf>
    <xf borderId="17" fillId="11" fontId="6" numFmtId="0" xfId="0" applyAlignment="1" applyBorder="1" applyFont="1">
      <alignment horizontal="center" shrinkToFit="0" wrapText="1"/>
    </xf>
    <xf borderId="35" fillId="6" fontId="1" numFmtId="0" xfId="0" applyAlignment="1" applyBorder="1" applyFont="1">
      <alignment horizontal="center" readingOrder="0" shrinkToFit="0" vertical="center" wrapText="1"/>
    </xf>
    <xf borderId="36" fillId="3" fontId="1" numFmtId="0" xfId="0" applyAlignment="1" applyBorder="1" applyFont="1">
      <alignment horizontal="center" shrinkToFit="0" vertical="center" wrapText="1"/>
    </xf>
    <xf borderId="37" fillId="4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4" fillId="11" fontId="4" numFmtId="0" xfId="0" applyAlignment="1" applyBorder="1" applyFont="1">
      <alignment horizontal="center" readingOrder="0" shrinkToFit="0" vertical="center" wrapText="1"/>
    </xf>
    <xf borderId="13" fillId="12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Boss Calculator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y Calculator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cient Token Calculator 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cient Token Calculator v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1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5</xdr:row>
      <xdr:rowOff>9525</xdr:rowOff>
    </xdr:from>
    <xdr:ext cx="657225" cy="276225"/>
    <xdr:sp>
      <xdr:nvSpPr>
        <xdr:cNvPr id="3" name="Shape 3"/>
        <xdr:cNvSpPr/>
      </xdr:nvSpPr>
      <xdr:spPr>
        <a:xfrm>
          <a:off x="2030200" y="1055700"/>
          <a:ext cx="639600" cy="253800"/>
        </a:xfrm>
        <a:prstGeom prst="rightArrow">
          <a:avLst>
            <a:gd fmla="val 50000" name="adj1"/>
            <a:gd fmla="val 50000" name="adj2"/>
          </a:avLst>
        </a:prstGeom>
        <a:solidFill>
          <a:srgbClr val="00FFFF"/>
        </a:solidFill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161925</xdr:colOff>
      <xdr:row>7</xdr:row>
      <xdr:rowOff>9525</xdr:rowOff>
    </xdr:from>
    <xdr:ext cx="657225" cy="276225"/>
    <xdr:sp>
      <xdr:nvSpPr>
        <xdr:cNvPr id="4" name="Shape 4"/>
        <xdr:cNvSpPr/>
      </xdr:nvSpPr>
      <xdr:spPr>
        <a:xfrm>
          <a:off x="2030200" y="1055700"/>
          <a:ext cx="639600" cy="253800"/>
        </a:xfrm>
        <a:prstGeom prst="rightArrow">
          <a:avLst>
            <a:gd fmla="val 50000" name="adj1"/>
            <a:gd fmla="val 50000" name="adj2"/>
          </a:avLst>
        </a:prstGeom>
        <a:solidFill>
          <a:srgbClr val="00FFFF"/>
        </a:solidFill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495300</xdr:colOff>
      <xdr:row>4</xdr:row>
      <xdr:rowOff>152400</xdr:rowOff>
    </xdr:from>
    <xdr:ext cx="371475" cy="390525"/>
    <xdr:sp>
      <xdr:nvSpPr>
        <xdr:cNvPr id="5" name="Shape 5"/>
        <xdr:cNvSpPr/>
      </xdr:nvSpPr>
      <xdr:spPr>
        <a:xfrm>
          <a:off x="3510332" y="2073498"/>
          <a:ext cx="350875" cy="368125"/>
        </a:xfrm>
        <a:custGeom>
          <a:rect b="b" l="l" r="r" t="t"/>
          <a:pathLst>
            <a:path extrusionOk="0" h="14725" w="14035">
              <a:moveTo>
                <a:pt x="14036" y="790"/>
              </a:moveTo>
              <a:cubicBezTo>
                <a:pt x="9570" y="-1195"/>
                <a:pt x="1126" y="753"/>
                <a:pt x="166" y="5545"/>
              </a:cubicBezTo>
              <a:cubicBezTo>
                <a:pt x="-497" y="8855"/>
                <a:pt x="2424" y="12526"/>
                <a:pt x="5318" y="14263"/>
              </a:cubicBezTo>
              <a:cubicBezTo>
                <a:pt x="7594" y="15629"/>
                <a:pt x="10588" y="13470"/>
                <a:pt x="13243" y="13470"/>
              </a:cubicBezTo>
            </a:path>
          </a:pathLst>
        </a:custGeom>
        <a:noFill/>
        <a:ln cap="flat" cmpd="sng" w="19050">
          <a:solidFill>
            <a:srgbClr val="000000"/>
          </a:solidFill>
          <a:prstDash val="solid"/>
          <a:round/>
          <a:headEnd len="med" w="med" type="none"/>
          <a:tailEnd len="med" w="med" type="stealth"/>
        </a:ln>
      </xdr:spPr>
    </xdr:sp>
    <xdr:clientData fLocksWithSheet="0"/>
  </xdr:oneCellAnchor>
  <xdr:oneCellAnchor>
    <xdr:from>
      <xdr:col>5</xdr:col>
      <xdr:colOff>495300</xdr:colOff>
      <xdr:row>6</xdr:row>
      <xdr:rowOff>133350</xdr:rowOff>
    </xdr:from>
    <xdr:ext cx="371475" cy="390525"/>
    <xdr:sp>
      <xdr:nvSpPr>
        <xdr:cNvPr id="6" name="Shape 6"/>
        <xdr:cNvSpPr/>
      </xdr:nvSpPr>
      <xdr:spPr>
        <a:xfrm>
          <a:off x="3510332" y="2073498"/>
          <a:ext cx="350875" cy="368125"/>
        </a:xfrm>
        <a:custGeom>
          <a:rect b="b" l="l" r="r" t="t"/>
          <a:pathLst>
            <a:path extrusionOk="0" h="14725" w="14035">
              <a:moveTo>
                <a:pt x="14036" y="790"/>
              </a:moveTo>
              <a:cubicBezTo>
                <a:pt x="9570" y="-1195"/>
                <a:pt x="1126" y="753"/>
                <a:pt x="166" y="5545"/>
              </a:cubicBezTo>
              <a:cubicBezTo>
                <a:pt x="-497" y="8855"/>
                <a:pt x="2424" y="12526"/>
                <a:pt x="5318" y="14263"/>
              </a:cubicBezTo>
              <a:cubicBezTo>
                <a:pt x="7594" y="15629"/>
                <a:pt x="10588" y="13470"/>
                <a:pt x="13243" y="13470"/>
              </a:cubicBezTo>
            </a:path>
          </a:pathLst>
        </a:custGeom>
        <a:noFill/>
        <a:ln cap="flat" cmpd="sng" w="19050">
          <a:solidFill>
            <a:srgbClr val="000000"/>
          </a:solidFill>
          <a:prstDash val="solid"/>
          <a:round/>
          <a:headEnd len="med" w="med" type="none"/>
          <a:tailEnd len="med" w="med" type="stealth"/>
        </a:ln>
      </xdr:spPr>
    </xdr:sp>
    <xdr:clientData fLocksWithSheet="0"/>
  </xdr:oneCellAnchor>
  <xdr:oneCellAnchor>
    <xdr:from>
      <xdr:col>5</xdr:col>
      <xdr:colOff>495300</xdr:colOff>
      <xdr:row>9</xdr:row>
      <xdr:rowOff>104775</xdr:rowOff>
    </xdr:from>
    <xdr:ext cx="371475" cy="390525"/>
    <xdr:sp>
      <xdr:nvSpPr>
        <xdr:cNvPr id="7" name="Shape 7"/>
        <xdr:cNvSpPr/>
      </xdr:nvSpPr>
      <xdr:spPr>
        <a:xfrm>
          <a:off x="3510332" y="2073498"/>
          <a:ext cx="350875" cy="368125"/>
        </a:xfrm>
        <a:custGeom>
          <a:rect b="b" l="l" r="r" t="t"/>
          <a:pathLst>
            <a:path extrusionOk="0" h="14725" w="14035">
              <a:moveTo>
                <a:pt x="14036" y="790"/>
              </a:moveTo>
              <a:cubicBezTo>
                <a:pt x="9570" y="-1195"/>
                <a:pt x="1126" y="753"/>
                <a:pt x="166" y="5545"/>
              </a:cubicBezTo>
              <a:cubicBezTo>
                <a:pt x="-497" y="8855"/>
                <a:pt x="2424" y="12526"/>
                <a:pt x="5318" y="14263"/>
              </a:cubicBezTo>
              <a:cubicBezTo>
                <a:pt x="7594" y="15629"/>
                <a:pt x="10588" y="13470"/>
                <a:pt x="13243" y="13470"/>
              </a:cubicBezTo>
            </a:path>
          </a:pathLst>
        </a:custGeom>
        <a:noFill/>
        <a:ln cap="flat" cmpd="sng" w="19050">
          <a:solidFill>
            <a:srgbClr val="000000"/>
          </a:solidFill>
          <a:prstDash val="solid"/>
          <a:round/>
          <a:headEnd len="med" w="med" type="none"/>
          <a:tailEnd len="med" w="med" type="stealth"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2</xdr:row>
      <xdr:rowOff>95250</xdr:rowOff>
    </xdr:from>
    <xdr:ext cx="657225" cy="276225"/>
    <xdr:sp>
      <xdr:nvSpPr>
        <xdr:cNvPr id="8" name="Shape 8"/>
        <xdr:cNvSpPr/>
      </xdr:nvSpPr>
      <xdr:spPr>
        <a:xfrm rot="10800000">
          <a:off x="2030200" y="1055700"/>
          <a:ext cx="639600" cy="253800"/>
        </a:xfrm>
        <a:prstGeom prst="rightArrow">
          <a:avLst>
            <a:gd fmla="val 50000" name="adj1"/>
            <a:gd fmla="val 50000" name="adj2"/>
          </a:avLst>
        </a:prstGeom>
        <a:solidFill>
          <a:srgbClr val="00FFFF"/>
        </a:solidFill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T48" displayName="Tableau1_2" name="Tableau1_2" id="1">
  <tableColumns count="19">
    <tableColumn name="Compos" id="1"/>
    <tableColumn name="Abyssal" id="2"/>
    <tableColumn name="Celestial" id="3"/>
    <tableColumn name="Nidhogg" id="4"/>
    <tableColumn name="Chaos (rouge)" id="5"/>
    <tableColumn name="Order (blue)" id="6"/>
    <tableColumn name="Normal " id="7"/>
    <tableColumn name="Giga" id="8"/>
    <tableColumn name="Dodo Bleu " id="9"/>
    <tableColumn name="Dodo Rouge" id="10"/>
    <tableColumn name="W. Reaper" id="11"/>
    <tableColumn name="W. Giga" id="12"/>
    <tableColumn name="Ascension" id="13"/>
    <tableColumn name="Descension" id="14"/>
    <tableColumn name="1 Seal " id="15"/>
    <tableColumn name="2 Seal " id="16"/>
    <tableColumn name="3 Seal " id="17"/>
    <tableColumn name="4 Seal " id="18"/>
    <tableColumn name="Cube" id="19"/>
  </tableColumns>
  <tableStyleInfo name="Boss Calculator v1-style" showColumnStripes="0" showFirstColumn="1" showLastColumn="1" showRowStripes="1"/>
</table>
</file>

<file path=xl/tables/table2.xml><?xml version="1.0" encoding="utf-8"?>
<table xmlns="http://schemas.openxmlformats.org/spreadsheetml/2006/main" ref="B3:E43" displayName="Tableau4" name="Tableau4" id="2">
  <tableColumns count="4">
    <tableColumn name="Compos" id="1"/>
    <tableColumn name="Abyssal Warfare Key " id="2"/>
    <tableColumn name="Celestial Warfare key" id="3"/>
    <tableColumn name="Abyssal (6) + Celestial (6)" id="4"/>
  </tableColumns>
  <tableStyleInfo name="Key Calculator v1-style" showColumnStripes="0" showFirstColumn="1" showLastColumn="1" showRowStripes="1"/>
</table>
</file>

<file path=xl/tables/table3.xml><?xml version="1.0" encoding="utf-8"?>
<table xmlns="http://schemas.openxmlformats.org/spreadsheetml/2006/main" ref="B4:C13" displayName="Tableau5" name="Tableau5" id="3">
  <tableColumns count="2">
    <tableColumn name="Compos" id="1"/>
    <tableColumn name="Ancient Token Cluster" id="2"/>
  </tableColumns>
  <tableStyleInfo name="Ancient Token Calculator v1-style" showColumnStripes="0" showFirstColumn="1" showLastColumn="1" showRowStripes="1"/>
</table>
</file>

<file path=xl/tables/table4.xml><?xml version="1.0" encoding="utf-8"?>
<table xmlns="http://schemas.openxmlformats.org/spreadsheetml/2006/main" ref="B16:C23" displayName="Tableau7" name="Tableau7" id="4">
  <tableColumns count="2">
    <tableColumn name="compos" id="1"/>
    <tableColumn name="Token" id="2"/>
  </tableColumns>
  <tableStyleInfo name="Ancient Token Calculator v1-style 2" showColumnStripes="0" showFirstColumn="1" showLastColumn="1" showRowStripes="1"/>
</table>
</file>

<file path=xl/tables/table5.xml><?xml version="1.0" encoding="utf-8"?>
<table xmlns="http://schemas.openxmlformats.org/spreadsheetml/2006/main" ref="B7:T48" displayName="Tableau1" name="Tableau1" id="5">
  <tableColumns count="19">
    <tableColumn name="Compos" id="1"/>
    <tableColumn name="Abyssal" id="2"/>
    <tableColumn name="Celestial" id="3"/>
    <tableColumn name="Nidhogg" id="4"/>
    <tableColumn name="Chaos (rouge)" id="5"/>
    <tableColumn name="Order (blue)" id="6"/>
    <tableColumn name="Normal " id="7"/>
    <tableColumn name="Giga" id="8"/>
    <tableColumn name="Dodo Bleu " id="9"/>
    <tableColumn name="Dodo Rouge" id="10"/>
    <tableColumn name="W. Reaper" id="11"/>
    <tableColumn name="W. Giga" id="12"/>
    <tableColumn name="Ascension" id="13"/>
    <tableColumn name="Descension" id="14"/>
    <tableColumn name="1 Seal " id="15"/>
    <tableColumn name="2 Seal " id="16"/>
    <tableColumn name="3 Seal " id="17"/>
    <tableColumn name="4 Seal " id="18"/>
    <tableColumn name="Cube" id="19"/>
  </tableColumns>
  <tableStyleInfo name="Feuille1-style" showColumnStripes="0" showFirstColumn="1" showLastColumn="1" showRowStripes="1"/>
</table>
</file>

<file path=xl/tables/table6.xml><?xml version="1.0" encoding="utf-8"?>
<table xmlns="http://schemas.openxmlformats.org/spreadsheetml/2006/main" ref="B54:E94" displayName="Tableau2" name="Tableau2" id="6">
  <tableColumns count="4">
    <tableColumn name="Compos" id="1"/>
    <tableColumn name="Abyssal Warfare Key " id="2"/>
    <tableColumn name="Celestial Warfare key" id="3"/>
    <tableColumn name="Abyssal + Celestial (12)" id="4"/>
  </tableColumns>
  <tableStyleInfo name="Feuille1-style 2" showColumnStripes="0" showFirstColumn="1" showLastColumn="1" showRowStripes="1"/>
</table>
</file>

<file path=xl/tables/table7.xml><?xml version="1.0" encoding="utf-8"?>
<table xmlns="http://schemas.openxmlformats.org/spreadsheetml/2006/main" ref="B97:C106" displayName="Tableau3" name="Tableau3" id="7">
  <tableColumns count="2">
    <tableColumn name="Compos" id="1"/>
    <tableColumn name="Ancient Token Cluster" id="2"/>
  </tableColumns>
  <tableStyleInfo name="Feuille1-style 3" showColumnStripes="0" showFirstColumn="1" showLastColumn="1" showRowStripes="1"/>
</table>
</file>

<file path=xl/tables/table8.xml><?xml version="1.0" encoding="utf-8"?>
<table xmlns="http://schemas.openxmlformats.org/spreadsheetml/2006/main" ref="E97:F103" displayName="Tableau6" name="Tableau6" id="8">
  <tableColumns count="2">
    <tableColumn name="compos" id="1"/>
    <tableColumn name="Token" id="2"/>
  </tableColumns>
  <tableStyleInfo name="Feuille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/>
  <cols>
    <col customWidth="1" min="1" max="1" width="16.25"/>
    <col customWidth="1" min="2" max="2" width="37.38"/>
    <col customWidth="1" min="3" max="3" width="24.0"/>
    <col customWidth="1" min="4" max="4" width="25.38"/>
    <col customWidth="1" min="5" max="5" width="24.38"/>
    <col customWidth="1" min="6" max="6" width="22.63"/>
    <col customWidth="1" min="7" max="7" width="19.88"/>
    <col customWidth="1" min="8" max="8" width="14.5"/>
    <col customWidth="1" min="10" max="10" width="17.0"/>
    <col customWidth="1" min="11" max="11" width="19.0"/>
    <col customWidth="1" min="12" max="12" width="17.88"/>
    <col customWidth="1" min="13" max="13" width="14.0"/>
    <col customWidth="1" min="14" max="14" width="17.13"/>
    <col customWidth="1" min="15" max="15" width="18.5"/>
  </cols>
  <sheetData>
    <row r="5">
      <c r="C5" s="1" t="s">
        <v>0</v>
      </c>
      <c r="D5" s="2"/>
      <c r="E5" s="3" t="s">
        <v>1</v>
      </c>
      <c r="F5" s="4"/>
      <c r="G5" s="4"/>
      <c r="H5" s="5" t="s">
        <v>2</v>
      </c>
      <c r="I5" s="2"/>
      <c r="J5" s="6" t="s">
        <v>3</v>
      </c>
      <c r="K5" s="4"/>
      <c r="L5" s="4"/>
      <c r="M5" s="2"/>
      <c r="N5" s="7" t="s">
        <v>4</v>
      </c>
      <c r="O5" s="2"/>
      <c r="P5" s="8" t="s">
        <v>5</v>
      </c>
      <c r="Q5" s="4"/>
      <c r="R5" s="4"/>
      <c r="S5" s="4"/>
      <c r="T5" s="2"/>
    </row>
    <row r="6">
      <c r="B6" s="9"/>
      <c r="C6" s="10"/>
      <c r="D6" s="11"/>
      <c r="E6" s="12"/>
      <c r="H6" s="10"/>
      <c r="I6" s="11"/>
      <c r="J6" s="10"/>
      <c r="K6" s="13"/>
      <c r="L6" s="13"/>
      <c r="M6" s="11"/>
      <c r="N6" s="10"/>
      <c r="O6" s="11"/>
      <c r="P6" s="10"/>
      <c r="Q6" s="13"/>
      <c r="R6" s="13"/>
      <c r="S6" s="13"/>
      <c r="T6" s="11"/>
    </row>
    <row r="7" ht="22.5" customHeight="1">
      <c r="A7" s="14" t="s">
        <v>6</v>
      </c>
      <c r="B7" s="15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5" t="s">
        <v>22</v>
      </c>
      <c r="R7" s="15" t="s">
        <v>23</v>
      </c>
      <c r="S7" s="15" t="s">
        <v>24</v>
      </c>
      <c r="T7" s="15" t="s">
        <v>25</v>
      </c>
    </row>
    <row r="8" ht="22.5" customHeight="1">
      <c r="A8" s="16">
        <f t="shared" ref="A8:A23" si="1">SUM(C8:T8)</f>
        <v>20</v>
      </c>
      <c r="B8" s="17" t="s">
        <v>26</v>
      </c>
      <c r="C8" s="18">
        <f t="array" ref="C8:C48">Feuille1!C8:C48*$C$50</f>
        <v>20</v>
      </c>
      <c r="D8" s="19">
        <f t="array" ref="D8:D48">Feuille1!D8:D48*$D$50</f>
        <v>0</v>
      </c>
      <c r="E8" s="20">
        <f t="array" ref="E8:E48">Feuille1!E8:E48*$E$50</f>
        <v>0</v>
      </c>
      <c r="F8" s="21">
        <f t="array" ref="F8:F48">Feuille1!F8:F48*$F$50</f>
        <v>0</v>
      </c>
      <c r="G8" s="22">
        <f t="array" ref="G8:G48">Feuille1!G8:G48*$G$50</f>
        <v>0</v>
      </c>
      <c r="H8" s="23">
        <f t="array" ref="H8:H48">Feuille1!H8:H48*$H$50</f>
        <v>0</v>
      </c>
      <c r="I8" s="24">
        <f t="array" ref="I8:I48">Feuille1!I8:I48*$I$50</f>
        <v>0</v>
      </c>
      <c r="J8" s="25">
        <f t="array" ref="J8:J48">Feuille1!J8:J48*$J$50</f>
        <v>0</v>
      </c>
      <c r="K8" s="26">
        <f t="array" ref="K8:K48">Feuille1!K8:K48*$K$50</f>
        <v>0</v>
      </c>
      <c r="L8" s="26">
        <f t="array" ref="L8:L48">Feuille1!L8:L48*$L$50</f>
        <v>0</v>
      </c>
      <c r="M8" s="27">
        <f t="array" ref="M8:M48">Feuille1!M8:M48*$M$50</f>
        <v>0</v>
      </c>
      <c r="N8" s="28">
        <f t="array" ref="N8:N48">Feuille1!N8:N48*$N$50</f>
        <v>0</v>
      </c>
      <c r="O8" s="29">
        <f t="array" ref="O8:O48">Feuille1!O8:O48*$O$50</f>
        <v>0</v>
      </c>
      <c r="P8" s="30">
        <f t="array" ref="P8:P48">Feuille1!P8:P48*$P$50</f>
        <v>0</v>
      </c>
      <c r="Q8" s="31">
        <f t="array" ref="Q8:Q48">Feuille1!Q8:Q48*$Q$50</f>
        <v>0</v>
      </c>
      <c r="R8" s="31">
        <f t="array" ref="R8:R48">Feuille1!R8:R48*$R$50</f>
        <v>0</v>
      </c>
      <c r="S8" s="31">
        <f t="array" ref="S8:S48">Feuille1!S8:S48*$S$50</f>
        <v>0</v>
      </c>
      <c r="T8" s="31">
        <f t="array" ref="T8:T48">Feuille1!T8:T48*$T$50</f>
        <v>0</v>
      </c>
    </row>
    <row r="9" ht="22.5" customHeight="1">
      <c r="A9" s="32">
        <f t="shared" si="1"/>
        <v>0</v>
      </c>
      <c r="B9" s="17" t="s">
        <v>27</v>
      </c>
      <c r="C9" s="18">
        <v>0.0</v>
      </c>
      <c r="D9" s="19">
        <v>0.0</v>
      </c>
      <c r="E9" s="20">
        <v>0.0</v>
      </c>
      <c r="F9" s="21">
        <v>0.0</v>
      </c>
      <c r="G9" s="22">
        <v>0.0</v>
      </c>
      <c r="H9" s="33">
        <v>0.0</v>
      </c>
      <c r="I9" s="34">
        <v>0.0</v>
      </c>
      <c r="J9" s="35">
        <v>0.0</v>
      </c>
      <c r="K9" s="36">
        <v>0.0</v>
      </c>
      <c r="L9" s="36">
        <v>0.0</v>
      </c>
      <c r="M9" s="37">
        <v>0.0</v>
      </c>
      <c r="N9" s="28">
        <v>0.0</v>
      </c>
      <c r="O9" s="29">
        <v>0.0</v>
      </c>
      <c r="P9" s="30">
        <v>0.0</v>
      </c>
      <c r="Q9" s="31">
        <v>0.0</v>
      </c>
      <c r="R9" s="31">
        <v>0.0</v>
      </c>
      <c r="S9" s="31">
        <v>0.0</v>
      </c>
      <c r="T9" s="31">
        <v>0.0</v>
      </c>
    </row>
    <row r="10" ht="22.5" customHeight="1">
      <c r="A10" s="32">
        <f t="shared" si="1"/>
        <v>0</v>
      </c>
      <c r="B10" s="17" t="s">
        <v>28</v>
      </c>
      <c r="C10" s="18">
        <v>0.0</v>
      </c>
      <c r="D10" s="19">
        <v>0.0</v>
      </c>
      <c r="E10" s="20">
        <v>0.0</v>
      </c>
      <c r="F10" s="21">
        <v>0.0</v>
      </c>
      <c r="G10" s="22">
        <v>0.0</v>
      </c>
      <c r="H10" s="33">
        <v>0.0</v>
      </c>
      <c r="I10" s="34">
        <v>0.0</v>
      </c>
      <c r="J10" s="35">
        <v>0.0</v>
      </c>
      <c r="K10" s="36">
        <v>0.0</v>
      </c>
      <c r="L10" s="36">
        <v>0.0</v>
      </c>
      <c r="M10" s="37">
        <v>0.0</v>
      </c>
      <c r="N10" s="28">
        <v>0.0</v>
      </c>
      <c r="O10" s="29">
        <v>0.0</v>
      </c>
      <c r="P10" s="30">
        <v>0.0</v>
      </c>
      <c r="Q10" s="31">
        <v>0.0</v>
      </c>
      <c r="R10" s="31">
        <v>0.0</v>
      </c>
      <c r="S10" s="31">
        <v>0.0</v>
      </c>
      <c r="T10" s="31">
        <v>0.0</v>
      </c>
    </row>
    <row r="11" ht="22.5" customHeight="1">
      <c r="A11" s="32">
        <f t="shared" si="1"/>
        <v>10</v>
      </c>
      <c r="B11" s="17" t="s">
        <v>29</v>
      </c>
      <c r="C11" s="18">
        <v>10.0</v>
      </c>
      <c r="D11" s="19">
        <v>0.0</v>
      </c>
      <c r="E11" s="20">
        <v>0.0</v>
      </c>
      <c r="F11" s="21">
        <v>0.0</v>
      </c>
      <c r="G11" s="22">
        <v>0.0</v>
      </c>
      <c r="H11" s="23">
        <v>0.0</v>
      </c>
      <c r="I11" s="24">
        <v>0.0</v>
      </c>
      <c r="J11" s="25">
        <v>0.0</v>
      </c>
      <c r="K11" s="26">
        <v>0.0</v>
      </c>
      <c r="L11" s="26">
        <v>0.0</v>
      </c>
      <c r="M11" s="27">
        <v>0.0</v>
      </c>
      <c r="N11" s="28">
        <v>0.0</v>
      </c>
      <c r="O11" s="29">
        <v>0.0</v>
      </c>
      <c r="P11" s="30">
        <v>0.0</v>
      </c>
      <c r="Q11" s="31">
        <v>0.0</v>
      </c>
      <c r="R11" s="31">
        <v>0.0</v>
      </c>
      <c r="S11" s="31">
        <v>0.0</v>
      </c>
      <c r="T11" s="31">
        <v>0.0</v>
      </c>
    </row>
    <row r="12" ht="22.5" customHeight="1">
      <c r="A12" s="32">
        <f t="shared" si="1"/>
        <v>100</v>
      </c>
      <c r="B12" s="17" t="s">
        <v>30</v>
      </c>
      <c r="C12" s="18">
        <v>100.0</v>
      </c>
      <c r="D12" s="19">
        <v>0.0</v>
      </c>
      <c r="E12" s="20">
        <v>0.0</v>
      </c>
      <c r="F12" s="21">
        <v>0.0</v>
      </c>
      <c r="G12" s="22">
        <v>0.0</v>
      </c>
      <c r="H12" s="33">
        <v>0.0</v>
      </c>
      <c r="I12" s="34">
        <v>0.0</v>
      </c>
      <c r="J12" s="35">
        <v>0.0</v>
      </c>
      <c r="K12" s="36">
        <v>0.0</v>
      </c>
      <c r="L12" s="26">
        <v>0.0</v>
      </c>
      <c r="M12" s="27">
        <v>0.0</v>
      </c>
      <c r="N12" s="38">
        <v>0.0</v>
      </c>
      <c r="O12" s="39">
        <v>0.0</v>
      </c>
      <c r="P12" s="40">
        <v>0.0</v>
      </c>
      <c r="Q12" s="41">
        <v>0.0</v>
      </c>
      <c r="R12" s="41">
        <v>0.0</v>
      </c>
      <c r="S12" s="41">
        <v>0.0</v>
      </c>
      <c r="T12" s="41">
        <v>0.0</v>
      </c>
    </row>
    <row r="13" ht="22.5" customHeight="1">
      <c r="A13" s="32">
        <f t="shared" si="1"/>
        <v>120</v>
      </c>
      <c r="B13" s="17" t="s">
        <v>31</v>
      </c>
      <c r="C13" s="18">
        <v>120.0</v>
      </c>
      <c r="D13" s="19">
        <v>0.0</v>
      </c>
      <c r="E13" s="20">
        <v>0.0</v>
      </c>
      <c r="F13" s="21">
        <v>0.0</v>
      </c>
      <c r="G13" s="22">
        <v>0.0</v>
      </c>
      <c r="H13" s="23">
        <v>0.0</v>
      </c>
      <c r="I13" s="24">
        <v>0.0</v>
      </c>
      <c r="J13" s="25">
        <v>0.0</v>
      </c>
      <c r="K13" s="26">
        <v>0.0</v>
      </c>
      <c r="L13" s="26">
        <v>0.0</v>
      </c>
      <c r="M13" s="27">
        <v>0.0</v>
      </c>
      <c r="N13" s="28">
        <v>0.0</v>
      </c>
      <c r="O13" s="29">
        <v>0.0</v>
      </c>
      <c r="P13" s="30">
        <v>0.0</v>
      </c>
      <c r="Q13" s="31">
        <v>0.0</v>
      </c>
      <c r="R13" s="31">
        <v>0.0</v>
      </c>
      <c r="S13" s="31">
        <v>0.0</v>
      </c>
      <c r="T13" s="31">
        <v>0.0</v>
      </c>
    </row>
    <row r="14" ht="22.5" customHeight="1">
      <c r="A14" s="32">
        <f t="shared" si="1"/>
        <v>0</v>
      </c>
      <c r="B14" s="17" t="s">
        <v>32</v>
      </c>
      <c r="C14" s="18">
        <v>0.0</v>
      </c>
      <c r="D14" s="19">
        <v>0.0</v>
      </c>
      <c r="E14" s="20">
        <v>0.0</v>
      </c>
      <c r="F14" s="21">
        <v>0.0</v>
      </c>
      <c r="G14" s="22">
        <v>0.0</v>
      </c>
      <c r="H14" s="23">
        <v>0.0</v>
      </c>
      <c r="I14" s="24">
        <v>0.0</v>
      </c>
      <c r="J14" s="25">
        <v>0.0</v>
      </c>
      <c r="K14" s="26">
        <v>0.0</v>
      </c>
      <c r="L14" s="26">
        <v>0.0</v>
      </c>
      <c r="M14" s="27">
        <v>0.0</v>
      </c>
      <c r="N14" s="28">
        <v>0.0</v>
      </c>
      <c r="O14" s="29">
        <v>0.0</v>
      </c>
      <c r="P14" s="30">
        <v>0.0</v>
      </c>
      <c r="Q14" s="31">
        <v>0.0</v>
      </c>
      <c r="R14" s="31">
        <v>0.0</v>
      </c>
      <c r="S14" s="31">
        <v>0.0</v>
      </c>
      <c r="T14" s="31">
        <v>0.0</v>
      </c>
    </row>
    <row r="15" ht="22.5" customHeight="1">
      <c r="A15" s="32">
        <f t="shared" si="1"/>
        <v>5000</v>
      </c>
      <c r="B15" s="17" t="s">
        <v>33</v>
      </c>
      <c r="C15" s="18">
        <v>5000.0</v>
      </c>
      <c r="D15" s="19">
        <v>0.0</v>
      </c>
      <c r="E15" s="20">
        <v>0.0</v>
      </c>
      <c r="F15" s="21">
        <v>0.0</v>
      </c>
      <c r="G15" s="22">
        <v>0.0</v>
      </c>
      <c r="H15" s="23">
        <v>0.0</v>
      </c>
      <c r="I15" s="24">
        <v>0.0</v>
      </c>
      <c r="J15" s="25">
        <v>0.0</v>
      </c>
      <c r="K15" s="26">
        <v>0.0</v>
      </c>
      <c r="L15" s="26">
        <v>0.0</v>
      </c>
      <c r="M15" s="27">
        <v>0.0</v>
      </c>
      <c r="N15" s="38">
        <v>0.0</v>
      </c>
      <c r="O15" s="39">
        <v>0.0</v>
      </c>
      <c r="P15" s="40">
        <v>0.0</v>
      </c>
      <c r="Q15" s="41">
        <v>0.0</v>
      </c>
      <c r="R15" s="41">
        <v>0.0</v>
      </c>
      <c r="S15" s="41">
        <v>0.0</v>
      </c>
      <c r="T15" s="31">
        <v>0.0</v>
      </c>
    </row>
    <row r="16" ht="22.5" customHeight="1">
      <c r="A16" s="32">
        <f t="shared" si="1"/>
        <v>0</v>
      </c>
      <c r="B16" s="17" t="s">
        <v>34</v>
      </c>
      <c r="C16" s="18">
        <v>0.0</v>
      </c>
      <c r="D16" s="19">
        <v>0.0</v>
      </c>
      <c r="E16" s="20">
        <v>0.0</v>
      </c>
      <c r="F16" s="21">
        <v>0.0</v>
      </c>
      <c r="G16" s="22">
        <v>0.0</v>
      </c>
      <c r="H16" s="23">
        <v>0.0</v>
      </c>
      <c r="I16" s="24">
        <v>0.0</v>
      </c>
      <c r="J16" s="25">
        <v>0.0</v>
      </c>
      <c r="K16" s="26">
        <v>0.0</v>
      </c>
      <c r="L16" s="26">
        <v>0.0</v>
      </c>
      <c r="M16" s="27">
        <v>0.0</v>
      </c>
      <c r="N16" s="38">
        <v>0.0</v>
      </c>
      <c r="O16" s="39">
        <v>0.0</v>
      </c>
      <c r="P16" s="40">
        <v>0.0</v>
      </c>
      <c r="Q16" s="41">
        <v>0.0</v>
      </c>
      <c r="R16" s="41">
        <v>0.0</v>
      </c>
      <c r="S16" s="41">
        <v>0.0</v>
      </c>
      <c r="T16" s="31">
        <v>0.0</v>
      </c>
    </row>
    <row r="17" ht="22.5" customHeight="1">
      <c r="A17" s="32">
        <f t="shared" si="1"/>
        <v>200</v>
      </c>
      <c r="B17" s="17" t="s">
        <v>35</v>
      </c>
      <c r="C17" s="18">
        <v>200.0</v>
      </c>
      <c r="D17" s="19">
        <v>0.0</v>
      </c>
      <c r="E17" s="20">
        <v>0.0</v>
      </c>
      <c r="F17" s="21">
        <v>0.0</v>
      </c>
      <c r="G17" s="22">
        <v>0.0</v>
      </c>
      <c r="H17" s="23">
        <v>0.0</v>
      </c>
      <c r="I17" s="24">
        <v>0.0</v>
      </c>
      <c r="J17" s="25">
        <v>0.0</v>
      </c>
      <c r="K17" s="26">
        <v>0.0</v>
      </c>
      <c r="L17" s="26">
        <v>0.0</v>
      </c>
      <c r="M17" s="27">
        <v>0.0</v>
      </c>
      <c r="N17" s="28">
        <v>0.0</v>
      </c>
      <c r="O17" s="29">
        <v>0.0</v>
      </c>
      <c r="P17" s="40">
        <v>0.0</v>
      </c>
      <c r="Q17" s="41">
        <v>0.0</v>
      </c>
      <c r="R17" s="41">
        <v>0.0</v>
      </c>
      <c r="S17" s="41">
        <v>0.0</v>
      </c>
      <c r="T17" s="31">
        <v>0.0</v>
      </c>
    </row>
    <row r="18" ht="22.5" customHeight="1">
      <c r="A18" s="32">
        <f t="shared" si="1"/>
        <v>500</v>
      </c>
      <c r="B18" s="17" t="s">
        <v>36</v>
      </c>
      <c r="C18" s="18">
        <v>500.0</v>
      </c>
      <c r="D18" s="19">
        <v>0.0</v>
      </c>
      <c r="E18" s="20">
        <v>0.0</v>
      </c>
      <c r="F18" s="21">
        <v>0.0</v>
      </c>
      <c r="G18" s="22">
        <v>0.0</v>
      </c>
      <c r="H18" s="33">
        <v>0.0</v>
      </c>
      <c r="I18" s="34">
        <v>0.0</v>
      </c>
      <c r="J18" s="35">
        <v>0.0</v>
      </c>
      <c r="K18" s="36">
        <v>0.0</v>
      </c>
      <c r="L18" s="36">
        <v>0.0</v>
      </c>
      <c r="M18" s="37">
        <v>0.0</v>
      </c>
      <c r="N18" s="38">
        <v>0.0</v>
      </c>
      <c r="O18" s="39">
        <v>0.0</v>
      </c>
      <c r="P18" s="40">
        <v>0.0</v>
      </c>
      <c r="Q18" s="41">
        <v>0.0</v>
      </c>
      <c r="R18" s="41">
        <v>0.0</v>
      </c>
      <c r="S18" s="41">
        <v>0.0</v>
      </c>
      <c r="T18" s="41">
        <v>0.0</v>
      </c>
    </row>
    <row r="19" ht="22.5" customHeight="1">
      <c r="A19" s="32">
        <f t="shared" si="1"/>
        <v>5000</v>
      </c>
      <c r="B19" s="17" t="s">
        <v>37</v>
      </c>
      <c r="C19" s="18">
        <v>5000.0</v>
      </c>
      <c r="D19" s="19">
        <v>0.0</v>
      </c>
      <c r="E19" s="20">
        <v>0.0</v>
      </c>
      <c r="F19" s="21">
        <v>0.0</v>
      </c>
      <c r="G19" s="22">
        <v>0.0</v>
      </c>
      <c r="H19" s="23">
        <v>0.0</v>
      </c>
      <c r="I19" s="24">
        <v>0.0</v>
      </c>
      <c r="J19" s="25">
        <v>0.0</v>
      </c>
      <c r="K19" s="26">
        <v>0.0</v>
      </c>
      <c r="L19" s="26">
        <v>0.0</v>
      </c>
      <c r="M19" s="27">
        <v>0.0</v>
      </c>
      <c r="N19" s="28">
        <v>0.0</v>
      </c>
      <c r="O19" s="29">
        <v>0.0</v>
      </c>
      <c r="P19" s="30">
        <v>0.0</v>
      </c>
      <c r="Q19" s="31">
        <v>0.0</v>
      </c>
      <c r="R19" s="31">
        <v>0.0</v>
      </c>
      <c r="S19" s="31">
        <v>0.0</v>
      </c>
      <c r="T19" s="31">
        <v>0.0</v>
      </c>
    </row>
    <row r="20" ht="22.5" customHeight="1">
      <c r="A20" s="32">
        <f t="shared" si="1"/>
        <v>10</v>
      </c>
      <c r="B20" s="17" t="s">
        <v>38</v>
      </c>
      <c r="C20" s="18">
        <v>10.0</v>
      </c>
      <c r="D20" s="42">
        <v>0.0</v>
      </c>
      <c r="E20" s="43">
        <v>0.0</v>
      </c>
      <c r="F20" s="44">
        <v>0.0</v>
      </c>
      <c r="G20" s="45">
        <v>0.0</v>
      </c>
      <c r="H20" s="33">
        <v>0.0</v>
      </c>
      <c r="I20" s="34">
        <v>0.0</v>
      </c>
      <c r="J20" s="35">
        <v>0.0</v>
      </c>
      <c r="K20" s="36">
        <v>0.0</v>
      </c>
      <c r="L20" s="36">
        <v>0.0</v>
      </c>
      <c r="M20" s="37">
        <v>0.0</v>
      </c>
      <c r="N20" s="38">
        <v>0.0</v>
      </c>
      <c r="O20" s="39">
        <v>0.0</v>
      </c>
      <c r="P20" s="40">
        <v>0.0</v>
      </c>
      <c r="Q20" s="41">
        <v>0.0</v>
      </c>
      <c r="R20" s="41">
        <v>0.0</v>
      </c>
      <c r="S20" s="41">
        <v>0.0</v>
      </c>
      <c r="T20" s="41">
        <v>0.0</v>
      </c>
    </row>
    <row r="21" ht="22.5" customHeight="1">
      <c r="A21" s="32">
        <f t="shared" si="1"/>
        <v>0</v>
      </c>
      <c r="B21" s="17" t="s">
        <v>39</v>
      </c>
      <c r="C21" s="18">
        <v>0.0</v>
      </c>
      <c r="D21" s="19">
        <v>0.0</v>
      </c>
      <c r="E21" s="43">
        <v>0.0</v>
      </c>
      <c r="F21" s="44">
        <v>0.0</v>
      </c>
      <c r="G21" s="45">
        <v>0.0</v>
      </c>
      <c r="H21" s="33">
        <v>0.0</v>
      </c>
      <c r="I21" s="34">
        <v>0.0</v>
      </c>
      <c r="J21" s="35">
        <v>0.0</v>
      </c>
      <c r="K21" s="36">
        <v>0.0</v>
      </c>
      <c r="L21" s="36">
        <v>0.0</v>
      </c>
      <c r="M21" s="37">
        <v>0.0</v>
      </c>
      <c r="N21" s="38">
        <v>0.0</v>
      </c>
      <c r="O21" s="39">
        <v>0.0</v>
      </c>
      <c r="P21" s="40">
        <v>0.0</v>
      </c>
      <c r="Q21" s="41">
        <v>0.0</v>
      </c>
      <c r="R21" s="41">
        <v>0.0</v>
      </c>
      <c r="S21" s="41">
        <v>0.0</v>
      </c>
      <c r="T21" s="41">
        <v>0.0</v>
      </c>
    </row>
    <row r="22" ht="22.5" customHeight="1">
      <c r="A22" s="32">
        <f t="shared" si="1"/>
        <v>100</v>
      </c>
      <c r="B22" s="17" t="s">
        <v>40</v>
      </c>
      <c r="C22" s="18">
        <v>100.0</v>
      </c>
      <c r="D22" s="42">
        <v>0.0</v>
      </c>
      <c r="E22" s="43">
        <v>0.0</v>
      </c>
      <c r="F22" s="44">
        <v>0.0</v>
      </c>
      <c r="G22" s="45">
        <v>0.0</v>
      </c>
      <c r="H22" s="33">
        <v>0.0</v>
      </c>
      <c r="I22" s="34">
        <v>0.0</v>
      </c>
      <c r="J22" s="35">
        <v>0.0</v>
      </c>
      <c r="K22" s="36">
        <v>0.0</v>
      </c>
      <c r="L22" s="36">
        <v>0.0</v>
      </c>
      <c r="M22" s="37">
        <v>0.0</v>
      </c>
      <c r="N22" s="38">
        <v>0.0</v>
      </c>
      <c r="O22" s="39">
        <v>0.0</v>
      </c>
      <c r="P22" s="40">
        <v>0.0</v>
      </c>
      <c r="Q22" s="41">
        <v>0.0</v>
      </c>
      <c r="R22" s="41">
        <v>0.0</v>
      </c>
      <c r="S22" s="41">
        <v>0.0</v>
      </c>
      <c r="T22" s="41">
        <v>0.0</v>
      </c>
    </row>
    <row r="23" ht="22.5" customHeight="1">
      <c r="A23" s="32">
        <f t="shared" si="1"/>
        <v>0</v>
      </c>
      <c r="B23" s="17" t="s">
        <v>41</v>
      </c>
      <c r="C23" s="18">
        <v>0.0</v>
      </c>
      <c r="D23" s="19">
        <v>0.0</v>
      </c>
      <c r="E23" s="43">
        <v>0.0</v>
      </c>
      <c r="F23" s="44">
        <v>0.0</v>
      </c>
      <c r="G23" s="45">
        <v>0.0</v>
      </c>
      <c r="H23" s="33">
        <v>0.0</v>
      </c>
      <c r="I23" s="34">
        <v>0.0</v>
      </c>
      <c r="J23" s="35">
        <v>0.0</v>
      </c>
      <c r="K23" s="36">
        <v>0.0</v>
      </c>
      <c r="L23" s="36">
        <v>0.0</v>
      </c>
      <c r="M23" s="37">
        <v>0.0</v>
      </c>
      <c r="N23" s="38">
        <v>0.0</v>
      </c>
      <c r="O23" s="39">
        <v>0.0</v>
      </c>
      <c r="P23" s="40">
        <v>0.0</v>
      </c>
      <c r="Q23" s="41">
        <v>0.0</v>
      </c>
      <c r="R23" s="41">
        <v>0.0</v>
      </c>
      <c r="S23" s="41">
        <v>0.0</v>
      </c>
      <c r="T23" s="41">
        <v>0.0</v>
      </c>
    </row>
    <row r="24" ht="22.5" customHeight="1">
      <c r="A24" s="46"/>
      <c r="B24" s="17"/>
      <c r="C24" s="18">
        <v>0.0</v>
      </c>
      <c r="D24" s="42">
        <v>0.0</v>
      </c>
      <c r="E24" s="43">
        <v>0.0</v>
      </c>
      <c r="F24" s="44">
        <v>0.0</v>
      </c>
      <c r="G24" s="45">
        <v>0.0</v>
      </c>
      <c r="H24" s="33">
        <v>0.0</v>
      </c>
      <c r="I24" s="34">
        <v>0.0</v>
      </c>
      <c r="J24" s="35">
        <v>0.0</v>
      </c>
      <c r="K24" s="36">
        <v>0.0</v>
      </c>
      <c r="L24" s="36">
        <v>0.0</v>
      </c>
      <c r="M24" s="37">
        <v>0.0</v>
      </c>
      <c r="N24" s="38">
        <v>0.0</v>
      </c>
      <c r="O24" s="39">
        <v>0.0</v>
      </c>
      <c r="P24" s="40">
        <v>0.0</v>
      </c>
      <c r="Q24" s="41">
        <v>0.0</v>
      </c>
      <c r="R24" s="41">
        <v>0.0</v>
      </c>
      <c r="S24" s="41">
        <v>0.0</v>
      </c>
      <c r="T24" s="41">
        <v>0.0</v>
      </c>
    </row>
    <row r="25" ht="22.5" customHeight="1">
      <c r="A25" s="32">
        <f t="shared" ref="A25:A29" si="2">SUM(C25:T25)</f>
        <v>0</v>
      </c>
      <c r="B25" s="47" t="s">
        <v>42</v>
      </c>
      <c r="C25" s="48">
        <v>0.0</v>
      </c>
      <c r="D25" s="42">
        <v>0.0</v>
      </c>
      <c r="E25" s="43">
        <v>0.0</v>
      </c>
      <c r="F25" s="44">
        <v>0.0</v>
      </c>
      <c r="G25" s="45">
        <v>0.0</v>
      </c>
      <c r="H25" s="23">
        <v>0.0</v>
      </c>
      <c r="I25" s="24">
        <v>0.0</v>
      </c>
      <c r="J25" s="35">
        <v>0.0</v>
      </c>
      <c r="K25" s="36">
        <v>0.0</v>
      </c>
      <c r="L25" s="36">
        <v>0.0</v>
      </c>
      <c r="M25" s="37">
        <v>0.0</v>
      </c>
      <c r="N25" s="38">
        <v>0.0</v>
      </c>
      <c r="O25" s="39">
        <v>0.0</v>
      </c>
      <c r="P25" s="40">
        <v>0.0</v>
      </c>
      <c r="Q25" s="41">
        <v>0.0</v>
      </c>
      <c r="R25" s="41">
        <v>0.0</v>
      </c>
      <c r="S25" s="41">
        <v>0.0</v>
      </c>
      <c r="T25" s="41">
        <v>0.0</v>
      </c>
    </row>
    <row r="26" ht="22.5" customHeight="1">
      <c r="A26" s="32">
        <f t="shared" si="2"/>
        <v>0</v>
      </c>
      <c r="B26" s="47" t="s">
        <v>43</v>
      </c>
      <c r="C26" s="48">
        <v>0.0</v>
      </c>
      <c r="D26" s="42">
        <v>0.0</v>
      </c>
      <c r="E26" s="43">
        <v>0.0</v>
      </c>
      <c r="F26" s="44">
        <v>0.0</v>
      </c>
      <c r="G26" s="45">
        <v>0.0</v>
      </c>
      <c r="H26" s="23">
        <v>0.0</v>
      </c>
      <c r="I26" s="24">
        <v>0.0</v>
      </c>
      <c r="J26" s="35">
        <v>0.0</v>
      </c>
      <c r="K26" s="36">
        <v>0.0</v>
      </c>
      <c r="L26" s="36">
        <v>0.0</v>
      </c>
      <c r="M26" s="37">
        <v>0.0</v>
      </c>
      <c r="N26" s="38">
        <v>0.0</v>
      </c>
      <c r="O26" s="39">
        <v>0.0</v>
      </c>
      <c r="P26" s="40">
        <v>0.0</v>
      </c>
      <c r="Q26" s="41">
        <v>0.0</v>
      </c>
      <c r="R26" s="41">
        <v>0.0</v>
      </c>
      <c r="S26" s="41">
        <v>0.0</v>
      </c>
      <c r="T26" s="41">
        <v>0.0</v>
      </c>
    </row>
    <row r="27" ht="22.5" customHeight="1">
      <c r="A27" s="32">
        <f t="shared" si="2"/>
        <v>0</v>
      </c>
      <c r="B27" s="49" t="s">
        <v>44</v>
      </c>
      <c r="C27" s="48">
        <v>0.0</v>
      </c>
      <c r="D27" s="42">
        <v>0.0</v>
      </c>
      <c r="E27" s="43">
        <v>0.0</v>
      </c>
      <c r="F27" s="44">
        <v>0.0</v>
      </c>
      <c r="G27" s="45">
        <v>0.0</v>
      </c>
      <c r="H27" s="33">
        <v>0.0</v>
      </c>
      <c r="I27" s="24">
        <v>0.0</v>
      </c>
      <c r="J27" s="35">
        <v>0.0</v>
      </c>
      <c r="K27" s="36">
        <v>0.0</v>
      </c>
      <c r="L27" s="36">
        <v>0.0</v>
      </c>
      <c r="M27" s="37">
        <v>0.0</v>
      </c>
      <c r="N27" s="38">
        <v>0.0</v>
      </c>
      <c r="O27" s="39">
        <v>0.0</v>
      </c>
      <c r="P27" s="40">
        <v>0.0</v>
      </c>
      <c r="Q27" s="41">
        <v>0.0</v>
      </c>
      <c r="R27" s="41">
        <v>0.0</v>
      </c>
      <c r="S27" s="41">
        <v>0.0</v>
      </c>
      <c r="T27" s="41">
        <v>0.0</v>
      </c>
    </row>
    <row r="28" ht="22.5" customHeight="1">
      <c r="A28" s="32">
        <f t="shared" si="2"/>
        <v>0</v>
      </c>
      <c r="B28" s="49" t="s">
        <v>45</v>
      </c>
      <c r="C28" s="48">
        <v>0.0</v>
      </c>
      <c r="D28" s="42">
        <v>0.0</v>
      </c>
      <c r="E28" s="43">
        <v>0.0</v>
      </c>
      <c r="F28" s="44">
        <v>0.0</v>
      </c>
      <c r="G28" s="45">
        <v>0.0</v>
      </c>
      <c r="H28" s="33">
        <v>0.0</v>
      </c>
      <c r="I28" s="34">
        <v>0.0</v>
      </c>
      <c r="J28" s="25">
        <v>0.0</v>
      </c>
      <c r="K28" s="26">
        <v>0.0</v>
      </c>
      <c r="L28" s="26">
        <v>0.0</v>
      </c>
      <c r="M28" s="27">
        <v>0.0</v>
      </c>
      <c r="N28" s="38">
        <v>0.0</v>
      </c>
      <c r="O28" s="39">
        <v>0.0</v>
      </c>
      <c r="P28" s="40">
        <v>0.0</v>
      </c>
      <c r="Q28" s="41">
        <v>0.0</v>
      </c>
      <c r="R28" s="41">
        <v>0.0</v>
      </c>
      <c r="S28" s="41">
        <v>0.0</v>
      </c>
      <c r="T28" s="41">
        <v>0.0</v>
      </c>
    </row>
    <row r="29" ht="22.5" customHeight="1">
      <c r="A29" s="32">
        <f t="shared" si="2"/>
        <v>0</v>
      </c>
      <c r="B29" s="49" t="s">
        <v>46</v>
      </c>
      <c r="C29" s="48">
        <v>0.0</v>
      </c>
      <c r="D29" s="42">
        <v>0.0</v>
      </c>
      <c r="E29" s="43">
        <v>0.0</v>
      </c>
      <c r="F29" s="44">
        <v>0.0</v>
      </c>
      <c r="G29" s="45">
        <v>0.0</v>
      </c>
      <c r="H29" s="33">
        <v>0.0</v>
      </c>
      <c r="I29" s="34">
        <v>0.0</v>
      </c>
      <c r="J29" s="25">
        <v>0.0</v>
      </c>
      <c r="K29" s="26">
        <v>0.0</v>
      </c>
      <c r="L29" s="26">
        <v>0.0</v>
      </c>
      <c r="M29" s="27">
        <v>0.0</v>
      </c>
      <c r="N29" s="38">
        <v>0.0</v>
      </c>
      <c r="O29" s="39">
        <v>0.0</v>
      </c>
      <c r="P29" s="30">
        <v>0.0</v>
      </c>
      <c r="Q29" s="31">
        <v>0.0</v>
      </c>
      <c r="R29" s="31">
        <v>0.0</v>
      </c>
      <c r="S29" s="31">
        <v>0.0</v>
      </c>
      <c r="T29" s="41">
        <v>0.0</v>
      </c>
    </row>
    <row r="30" ht="22.5" customHeight="1">
      <c r="A30" s="46"/>
      <c r="B30" s="17"/>
      <c r="C30" s="48">
        <v>0.0</v>
      </c>
      <c r="D30" s="42">
        <v>0.0</v>
      </c>
      <c r="E30" s="43">
        <v>0.0</v>
      </c>
      <c r="F30" s="44">
        <v>0.0</v>
      </c>
      <c r="G30" s="45">
        <v>0.0</v>
      </c>
      <c r="H30" s="33">
        <v>0.0</v>
      </c>
      <c r="I30" s="34">
        <v>0.0</v>
      </c>
      <c r="J30" s="35">
        <v>0.0</v>
      </c>
      <c r="K30" s="36">
        <v>0.0</v>
      </c>
      <c r="L30" s="36">
        <v>0.0</v>
      </c>
      <c r="M30" s="37">
        <v>0.0</v>
      </c>
      <c r="N30" s="38">
        <v>0.0</v>
      </c>
      <c r="O30" s="39">
        <v>0.0</v>
      </c>
      <c r="P30" s="40">
        <v>0.0</v>
      </c>
      <c r="Q30" s="41">
        <v>0.0</v>
      </c>
      <c r="R30" s="41">
        <v>0.0</v>
      </c>
      <c r="S30" s="41">
        <v>0.0</v>
      </c>
      <c r="T30" s="41">
        <v>0.0</v>
      </c>
    </row>
    <row r="31" ht="22.5" customHeight="1">
      <c r="A31" s="32">
        <f t="shared" ref="A31:A34" si="3">SUM(C31:T31)</f>
        <v>0</v>
      </c>
      <c r="B31" s="50" t="s">
        <v>47</v>
      </c>
      <c r="C31" s="48">
        <v>0.0</v>
      </c>
      <c r="D31" s="42">
        <v>0.0</v>
      </c>
      <c r="E31" s="43">
        <v>0.0</v>
      </c>
      <c r="F31" s="44">
        <v>0.0</v>
      </c>
      <c r="G31" s="45">
        <v>0.0</v>
      </c>
      <c r="H31" s="33">
        <v>0.0</v>
      </c>
      <c r="I31" s="34">
        <v>0.0</v>
      </c>
      <c r="J31" s="35">
        <v>0.0</v>
      </c>
      <c r="K31" s="36">
        <v>0.0</v>
      </c>
      <c r="L31" s="36">
        <v>0.0</v>
      </c>
      <c r="M31" s="27">
        <v>0.0</v>
      </c>
      <c r="N31" s="28">
        <v>0.0</v>
      </c>
      <c r="O31" s="39">
        <v>0.0</v>
      </c>
      <c r="P31" s="40">
        <v>0.0</v>
      </c>
      <c r="Q31" s="41">
        <v>0.0</v>
      </c>
      <c r="R31" s="41">
        <v>0.0</v>
      </c>
      <c r="S31" s="41">
        <v>0.0</v>
      </c>
      <c r="T31" s="31">
        <v>0.0</v>
      </c>
    </row>
    <row r="32" ht="22.5" customHeight="1">
      <c r="A32" s="32">
        <f t="shared" si="3"/>
        <v>0</v>
      </c>
      <c r="B32" s="50" t="s">
        <v>48</v>
      </c>
      <c r="C32" s="48">
        <v>0.0</v>
      </c>
      <c r="D32" s="42">
        <v>0.0</v>
      </c>
      <c r="E32" s="43">
        <v>0.0</v>
      </c>
      <c r="F32" s="44">
        <v>0.0</v>
      </c>
      <c r="G32" s="45">
        <v>0.0</v>
      </c>
      <c r="H32" s="33">
        <v>0.0</v>
      </c>
      <c r="I32" s="34">
        <v>0.0</v>
      </c>
      <c r="J32" s="35">
        <v>0.0</v>
      </c>
      <c r="K32" s="36">
        <v>0.0</v>
      </c>
      <c r="L32" s="26">
        <v>0.0</v>
      </c>
      <c r="M32" s="27">
        <v>0.0</v>
      </c>
      <c r="N32" s="38">
        <v>0.0</v>
      </c>
      <c r="O32" s="29">
        <v>0.0</v>
      </c>
      <c r="P32" s="40">
        <v>0.0</v>
      </c>
      <c r="Q32" s="41">
        <v>0.0</v>
      </c>
      <c r="R32" s="41">
        <v>0.0</v>
      </c>
      <c r="S32" s="41">
        <v>0.0</v>
      </c>
      <c r="T32" s="31">
        <v>0.0</v>
      </c>
    </row>
    <row r="33" ht="22.5" customHeight="1">
      <c r="A33" s="32">
        <f t="shared" si="3"/>
        <v>0</v>
      </c>
      <c r="B33" s="51" t="s">
        <v>49</v>
      </c>
      <c r="C33" s="48">
        <v>0.0</v>
      </c>
      <c r="D33" s="42">
        <v>0.0</v>
      </c>
      <c r="E33" s="43">
        <v>0.0</v>
      </c>
      <c r="F33" s="44">
        <v>0.0</v>
      </c>
      <c r="G33" s="45">
        <v>0.0</v>
      </c>
      <c r="H33" s="33">
        <v>0.0</v>
      </c>
      <c r="I33" s="34">
        <v>0.0</v>
      </c>
      <c r="J33" s="35">
        <v>0.0</v>
      </c>
      <c r="K33" s="36">
        <v>0.0</v>
      </c>
      <c r="L33" s="26">
        <v>0.0</v>
      </c>
      <c r="M33" s="27">
        <v>0.0</v>
      </c>
      <c r="N33" s="38">
        <v>0.0</v>
      </c>
      <c r="O33" s="39">
        <v>0.0</v>
      </c>
      <c r="P33" s="40">
        <v>0.0</v>
      </c>
      <c r="Q33" s="41">
        <v>0.0</v>
      </c>
      <c r="R33" s="41">
        <v>0.0</v>
      </c>
      <c r="S33" s="41">
        <v>0.0</v>
      </c>
      <c r="T33" s="41">
        <v>0.0</v>
      </c>
    </row>
    <row r="34" ht="22.5" customHeight="1">
      <c r="A34" s="32">
        <f t="shared" si="3"/>
        <v>0</v>
      </c>
      <c r="B34" s="52" t="s">
        <v>50</v>
      </c>
      <c r="C34" s="48">
        <v>0.0</v>
      </c>
      <c r="D34" s="42">
        <v>0.0</v>
      </c>
      <c r="E34" s="43">
        <v>0.0</v>
      </c>
      <c r="F34" s="44">
        <v>0.0</v>
      </c>
      <c r="G34" s="45">
        <v>0.0</v>
      </c>
      <c r="H34" s="33">
        <v>0.0</v>
      </c>
      <c r="I34" s="34">
        <v>0.0</v>
      </c>
      <c r="J34" s="35">
        <v>0.0</v>
      </c>
      <c r="K34" s="36">
        <v>0.0</v>
      </c>
      <c r="L34" s="36">
        <v>0.0</v>
      </c>
      <c r="M34" s="27">
        <v>0.0</v>
      </c>
      <c r="N34" s="38">
        <v>0.0</v>
      </c>
      <c r="O34" s="39">
        <v>0.0</v>
      </c>
      <c r="P34" s="40">
        <v>0.0</v>
      </c>
      <c r="Q34" s="41">
        <v>0.0</v>
      </c>
      <c r="R34" s="41">
        <v>0.0</v>
      </c>
      <c r="S34" s="41">
        <v>0.0</v>
      </c>
      <c r="T34" s="41">
        <v>0.0</v>
      </c>
    </row>
    <row r="35" ht="22.5" customHeight="1">
      <c r="A35" s="46"/>
      <c r="B35" s="17"/>
      <c r="C35" s="18">
        <v>0.0</v>
      </c>
      <c r="D35" s="42">
        <v>0.0</v>
      </c>
      <c r="E35" s="43">
        <v>0.0</v>
      </c>
      <c r="F35" s="44">
        <v>0.0</v>
      </c>
      <c r="G35" s="45">
        <v>0.0</v>
      </c>
      <c r="H35" s="33">
        <v>0.0</v>
      </c>
      <c r="I35" s="34">
        <v>0.0</v>
      </c>
      <c r="J35" s="35">
        <v>0.0</v>
      </c>
      <c r="K35" s="36">
        <v>0.0</v>
      </c>
      <c r="L35" s="36">
        <v>0.0</v>
      </c>
      <c r="M35" s="37">
        <v>0.0</v>
      </c>
      <c r="N35" s="38">
        <v>0.0</v>
      </c>
      <c r="O35" s="39">
        <v>0.0</v>
      </c>
      <c r="P35" s="40">
        <v>0.0</v>
      </c>
      <c r="Q35" s="41">
        <v>0.0</v>
      </c>
      <c r="R35" s="41">
        <v>0.0</v>
      </c>
      <c r="S35" s="41">
        <v>0.0</v>
      </c>
      <c r="T35" s="41">
        <v>0.0</v>
      </c>
    </row>
    <row r="36" ht="22.5" customHeight="1">
      <c r="A36" s="32">
        <f t="shared" ref="A36:A44" si="4">SUM(C36:T36)</f>
        <v>0</v>
      </c>
      <c r="B36" s="49" t="s">
        <v>51</v>
      </c>
      <c r="C36" s="48">
        <v>0.0</v>
      </c>
      <c r="D36" s="42">
        <v>0.0</v>
      </c>
      <c r="E36" s="43">
        <v>0.0</v>
      </c>
      <c r="F36" s="44">
        <v>0.0</v>
      </c>
      <c r="G36" s="45">
        <v>0.0</v>
      </c>
      <c r="H36" s="33">
        <v>0.0</v>
      </c>
      <c r="I36" s="34">
        <v>0.0</v>
      </c>
      <c r="J36" s="35">
        <v>0.0</v>
      </c>
      <c r="K36" s="36">
        <v>0.0</v>
      </c>
      <c r="L36" s="36">
        <v>0.0</v>
      </c>
      <c r="M36" s="37">
        <v>0.0</v>
      </c>
      <c r="N36" s="28">
        <v>0.0</v>
      </c>
      <c r="O36" s="29">
        <v>0.0</v>
      </c>
      <c r="P36" s="40">
        <v>0.0</v>
      </c>
      <c r="Q36" s="41">
        <v>0.0</v>
      </c>
      <c r="R36" s="41">
        <v>0.0</v>
      </c>
      <c r="S36" s="41">
        <v>0.0</v>
      </c>
      <c r="T36" s="41">
        <v>0.0</v>
      </c>
    </row>
    <row r="37" ht="22.5" customHeight="1">
      <c r="A37" s="32">
        <f t="shared" si="4"/>
        <v>0</v>
      </c>
      <c r="B37" s="51" t="s">
        <v>52</v>
      </c>
      <c r="C37" s="48">
        <v>0.0</v>
      </c>
      <c r="D37" s="42">
        <v>0.0</v>
      </c>
      <c r="E37" s="43">
        <v>0.0</v>
      </c>
      <c r="F37" s="44">
        <v>0.0</v>
      </c>
      <c r="G37" s="45">
        <v>0.0</v>
      </c>
      <c r="H37" s="33">
        <v>0.0</v>
      </c>
      <c r="I37" s="34">
        <v>0.0</v>
      </c>
      <c r="J37" s="35">
        <v>0.0</v>
      </c>
      <c r="K37" s="36">
        <v>0.0</v>
      </c>
      <c r="L37" s="26">
        <v>0.0</v>
      </c>
      <c r="M37" s="27">
        <v>0.0</v>
      </c>
      <c r="N37" s="28">
        <v>0.0</v>
      </c>
      <c r="O37" s="29">
        <v>0.0</v>
      </c>
      <c r="P37" s="30">
        <v>0.0</v>
      </c>
      <c r="Q37" s="31">
        <v>0.0</v>
      </c>
      <c r="R37" s="31">
        <v>0.0</v>
      </c>
      <c r="S37" s="31">
        <v>0.0</v>
      </c>
      <c r="T37" s="41">
        <v>0.0</v>
      </c>
    </row>
    <row r="38" ht="22.5" customHeight="1">
      <c r="A38" s="32">
        <f t="shared" si="4"/>
        <v>0</v>
      </c>
      <c r="B38" s="52" t="s">
        <v>53</v>
      </c>
      <c r="C38" s="48">
        <v>0.0</v>
      </c>
      <c r="D38" s="42">
        <v>0.0</v>
      </c>
      <c r="E38" s="43">
        <v>0.0</v>
      </c>
      <c r="F38" s="44">
        <v>0.0</v>
      </c>
      <c r="G38" s="45">
        <v>0.0</v>
      </c>
      <c r="H38" s="33">
        <v>0.0</v>
      </c>
      <c r="I38" s="34">
        <v>0.0</v>
      </c>
      <c r="J38" s="35">
        <v>0.0</v>
      </c>
      <c r="K38" s="36">
        <v>0.0</v>
      </c>
      <c r="L38" s="36">
        <v>0.0</v>
      </c>
      <c r="M38" s="37">
        <v>0.0</v>
      </c>
      <c r="N38" s="28">
        <v>0.0</v>
      </c>
      <c r="O38" s="29">
        <v>0.0</v>
      </c>
      <c r="P38" s="40">
        <v>0.0</v>
      </c>
      <c r="Q38" s="41">
        <v>0.0</v>
      </c>
      <c r="R38" s="41">
        <v>0.0</v>
      </c>
      <c r="S38" s="41">
        <v>0.0</v>
      </c>
      <c r="T38" s="41">
        <v>0.0</v>
      </c>
    </row>
    <row r="39" ht="22.5" customHeight="1">
      <c r="A39" s="32">
        <f t="shared" si="4"/>
        <v>0</v>
      </c>
      <c r="B39" s="53" t="s">
        <v>54</v>
      </c>
      <c r="C39" s="48">
        <v>0.0</v>
      </c>
      <c r="D39" s="42">
        <v>0.0</v>
      </c>
      <c r="E39" s="43">
        <v>0.0</v>
      </c>
      <c r="F39" s="44">
        <v>0.0</v>
      </c>
      <c r="G39" s="45">
        <v>0.0</v>
      </c>
      <c r="H39" s="33">
        <v>0.0</v>
      </c>
      <c r="I39" s="34">
        <v>0.0</v>
      </c>
      <c r="J39" s="35">
        <v>0.0</v>
      </c>
      <c r="K39" s="36">
        <v>0.0</v>
      </c>
      <c r="L39" s="36">
        <v>0.0</v>
      </c>
      <c r="M39" s="37">
        <v>0.0</v>
      </c>
      <c r="N39" s="28">
        <v>0.0</v>
      </c>
      <c r="O39" s="29">
        <v>0.0</v>
      </c>
      <c r="P39" s="40">
        <v>0.0</v>
      </c>
      <c r="Q39" s="41">
        <v>0.0</v>
      </c>
      <c r="R39" s="41">
        <v>0.0</v>
      </c>
      <c r="S39" s="41">
        <v>0.0</v>
      </c>
      <c r="T39" s="41">
        <v>0.0</v>
      </c>
    </row>
    <row r="40" ht="22.5" customHeight="1">
      <c r="A40" s="32">
        <f t="shared" si="4"/>
        <v>0</v>
      </c>
      <c r="B40" s="53" t="s">
        <v>55</v>
      </c>
      <c r="C40" s="48">
        <v>0.0</v>
      </c>
      <c r="D40" s="42">
        <v>0.0</v>
      </c>
      <c r="E40" s="43">
        <v>0.0</v>
      </c>
      <c r="F40" s="44">
        <v>0.0</v>
      </c>
      <c r="G40" s="45">
        <v>0.0</v>
      </c>
      <c r="H40" s="33">
        <v>0.0</v>
      </c>
      <c r="I40" s="34">
        <v>0.0</v>
      </c>
      <c r="J40" s="35">
        <v>0.0</v>
      </c>
      <c r="K40" s="36">
        <v>0.0</v>
      </c>
      <c r="L40" s="36">
        <v>0.0</v>
      </c>
      <c r="M40" s="37">
        <v>0.0</v>
      </c>
      <c r="N40" s="28">
        <v>0.0</v>
      </c>
      <c r="O40" s="29">
        <v>0.0</v>
      </c>
      <c r="P40" s="40">
        <v>0.0</v>
      </c>
      <c r="Q40" s="41">
        <v>0.0</v>
      </c>
      <c r="R40" s="41">
        <v>0.0</v>
      </c>
      <c r="S40" s="41">
        <v>0.0</v>
      </c>
      <c r="T40" s="41">
        <v>0.0</v>
      </c>
    </row>
    <row r="41" ht="22.5" customHeight="1">
      <c r="A41" s="32">
        <f t="shared" si="4"/>
        <v>0</v>
      </c>
      <c r="B41" s="53" t="s">
        <v>56</v>
      </c>
      <c r="C41" s="48">
        <v>0.0</v>
      </c>
      <c r="D41" s="42">
        <v>0.0</v>
      </c>
      <c r="E41" s="43">
        <v>0.0</v>
      </c>
      <c r="F41" s="44">
        <v>0.0</v>
      </c>
      <c r="G41" s="45">
        <v>0.0</v>
      </c>
      <c r="H41" s="33">
        <v>0.0</v>
      </c>
      <c r="I41" s="34">
        <v>0.0</v>
      </c>
      <c r="J41" s="35">
        <v>0.0</v>
      </c>
      <c r="K41" s="36">
        <v>0.0</v>
      </c>
      <c r="L41" s="36">
        <v>0.0</v>
      </c>
      <c r="M41" s="37">
        <v>0.0</v>
      </c>
      <c r="N41" s="28">
        <v>0.0</v>
      </c>
      <c r="O41" s="29">
        <v>0.0</v>
      </c>
      <c r="P41" s="40">
        <v>0.0</v>
      </c>
      <c r="Q41" s="41">
        <v>0.0</v>
      </c>
      <c r="R41" s="41">
        <v>0.0</v>
      </c>
      <c r="S41" s="41">
        <v>0.0</v>
      </c>
      <c r="T41" s="41">
        <v>0.0</v>
      </c>
    </row>
    <row r="42" ht="22.5" customHeight="1">
      <c r="A42" s="32">
        <f t="shared" si="4"/>
        <v>0</v>
      </c>
      <c r="B42" s="53" t="s">
        <v>57</v>
      </c>
      <c r="C42" s="48">
        <v>0.0</v>
      </c>
      <c r="D42" s="42">
        <v>0.0</v>
      </c>
      <c r="E42" s="43">
        <v>0.0</v>
      </c>
      <c r="F42" s="44">
        <v>0.0</v>
      </c>
      <c r="G42" s="45">
        <v>0.0</v>
      </c>
      <c r="H42" s="33">
        <v>0.0</v>
      </c>
      <c r="I42" s="34">
        <v>0.0</v>
      </c>
      <c r="J42" s="35">
        <v>0.0</v>
      </c>
      <c r="K42" s="36">
        <v>0.0</v>
      </c>
      <c r="L42" s="36">
        <v>0.0</v>
      </c>
      <c r="M42" s="37">
        <v>0.0</v>
      </c>
      <c r="N42" s="28">
        <v>0.0</v>
      </c>
      <c r="O42" s="29">
        <v>0.0</v>
      </c>
      <c r="P42" s="40">
        <v>0.0</v>
      </c>
      <c r="Q42" s="41">
        <v>0.0</v>
      </c>
      <c r="R42" s="41">
        <v>0.0</v>
      </c>
      <c r="S42" s="41">
        <v>0.0</v>
      </c>
      <c r="T42" s="41">
        <v>0.0</v>
      </c>
    </row>
    <row r="43" ht="22.5" customHeight="1">
      <c r="A43" s="32">
        <f t="shared" si="4"/>
        <v>0</v>
      </c>
      <c r="B43" s="53" t="s">
        <v>58</v>
      </c>
      <c r="C43" s="48">
        <v>0.0</v>
      </c>
      <c r="D43" s="42">
        <v>0.0</v>
      </c>
      <c r="E43" s="43">
        <v>0.0</v>
      </c>
      <c r="F43" s="44">
        <v>0.0</v>
      </c>
      <c r="G43" s="45">
        <v>0.0</v>
      </c>
      <c r="H43" s="33">
        <v>0.0</v>
      </c>
      <c r="I43" s="34">
        <v>0.0</v>
      </c>
      <c r="J43" s="35">
        <v>0.0</v>
      </c>
      <c r="K43" s="36">
        <v>0.0</v>
      </c>
      <c r="L43" s="36">
        <v>0.0</v>
      </c>
      <c r="M43" s="37">
        <v>0.0</v>
      </c>
      <c r="N43" s="28">
        <v>0.0</v>
      </c>
      <c r="O43" s="29">
        <v>0.0</v>
      </c>
      <c r="P43" s="40">
        <v>0.0</v>
      </c>
      <c r="Q43" s="41">
        <v>0.0</v>
      </c>
      <c r="R43" s="41">
        <v>0.0</v>
      </c>
      <c r="S43" s="41">
        <v>0.0</v>
      </c>
      <c r="T43" s="31">
        <v>0.0</v>
      </c>
    </row>
    <row r="44" ht="22.5" customHeight="1">
      <c r="A44" s="32">
        <f t="shared" si="4"/>
        <v>0</v>
      </c>
      <c r="B44" s="53" t="s">
        <v>59</v>
      </c>
      <c r="C44" s="48">
        <v>0.0</v>
      </c>
      <c r="D44" s="42">
        <v>0.0</v>
      </c>
      <c r="E44" s="43">
        <v>0.0</v>
      </c>
      <c r="F44" s="44">
        <v>0.0</v>
      </c>
      <c r="G44" s="45">
        <v>0.0</v>
      </c>
      <c r="H44" s="33">
        <v>0.0</v>
      </c>
      <c r="I44" s="34">
        <v>0.0</v>
      </c>
      <c r="J44" s="35">
        <v>0.0</v>
      </c>
      <c r="K44" s="36">
        <v>0.0</v>
      </c>
      <c r="L44" s="36">
        <v>0.0</v>
      </c>
      <c r="M44" s="37">
        <v>0.0</v>
      </c>
      <c r="N44" s="28">
        <v>0.0</v>
      </c>
      <c r="O44" s="29">
        <v>0.0</v>
      </c>
      <c r="P44" s="40">
        <v>0.0</v>
      </c>
      <c r="Q44" s="41">
        <v>0.0</v>
      </c>
      <c r="R44" s="41">
        <v>0.0</v>
      </c>
      <c r="S44" s="41">
        <v>0.0</v>
      </c>
      <c r="T44" s="31">
        <v>0.0</v>
      </c>
    </row>
    <row r="45" ht="22.5" customHeight="1">
      <c r="A45" s="46"/>
      <c r="B45" s="17"/>
      <c r="C45" s="48">
        <v>0.0</v>
      </c>
      <c r="D45" s="42">
        <v>0.0</v>
      </c>
      <c r="E45" s="43">
        <v>0.0</v>
      </c>
      <c r="F45" s="44">
        <v>0.0</v>
      </c>
      <c r="G45" s="45">
        <v>0.0</v>
      </c>
      <c r="H45" s="33">
        <v>0.0</v>
      </c>
      <c r="I45" s="34">
        <v>0.0</v>
      </c>
      <c r="J45" s="35">
        <v>0.0</v>
      </c>
      <c r="K45" s="36">
        <v>0.0</v>
      </c>
      <c r="L45" s="36">
        <v>0.0</v>
      </c>
      <c r="M45" s="37">
        <v>0.0</v>
      </c>
      <c r="N45" s="38">
        <v>0.0</v>
      </c>
      <c r="O45" s="39">
        <v>0.0</v>
      </c>
      <c r="P45" s="40">
        <v>0.0</v>
      </c>
      <c r="Q45" s="41">
        <v>0.0</v>
      </c>
      <c r="R45" s="41">
        <v>0.0</v>
      </c>
      <c r="S45" s="41">
        <v>0.0</v>
      </c>
      <c r="T45" s="41">
        <v>0.0</v>
      </c>
    </row>
    <row r="46" ht="22.5" customHeight="1">
      <c r="A46" s="32">
        <f t="shared" ref="A46:A48" si="5">SUM(C46:T46)</f>
        <v>0</v>
      </c>
      <c r="B46" s="54" t="s">
        <v>60</v>
      </c>
      <c r="C46" s="48">
        <v>0.0</v>
      </c>
      <c r="D46" s="42">
        <v>0.0</v>
      </c>
      <c r="E46" s="43">
        <v>0.0</v>
      </c>
      <c r="F46" s="44">
        <v>0.0</v>
      </c>
      <c r="G46" s="45">
        <v>0.0</v>
      </c>
      <c r="H46" s="33">
        <v>0.0</v>
      </c>
      <c r="I46" s="34">
        <v>0.0</v>
      </c>
      <c r="J46" s="35">
        <v>0.0</v>
      </c>
      <c r="K46" s="36">
        <v>0.0</v>
      </c>
      <c r="L46" s="36">
        <v>0.0</v>
      </c>
      <c r="M46" s="37">
        <v>0.0</v>
      </c>
      <c r="N46" s="38">
        <v>0.0</v>
      </c>
      <c r="O46" s="39">
        <v>0.0</v>
      </c>
      <c r="P46" s="30">
        <v>0.0</v>
      </c>
      <c r="Q46" s="31">
        <v>0.0</v>
      </c>
      <c r="R46" s="31">
        <v>0.0</v>
      </c>
      <c r="S46" s="31">
        <v>0.0</v>
      </c>
      <c r="T46" s="31">
        <v>0.0</v>
      </c>
    </row>
    <row r="47" ht="22.5" customHeight="1">
      <c r="A47" s="32">
        <f t="shared" si="5"/>
        <v>0</v>
      </c>
      <c r="B47" s="54" t="s">
        <v>61</v>
      </c>
      <c r="C47" s="48">
        <v>0.0</v>
      </c>
      <c r="D47" s="42">
        <v>0.0</v>
      </c>
      <c r="E47" s="43">
        <v>0.0</v>
      </c>
      <c r="F47" s="44">
        <v>0.0</v>
      </c>
      <c r="G47" s="45">
        <v>0.0</v>
      </c>
      <c r="H47" s="33">
        <v>0.0</v>
      </c>
      <c r="I47" s="34">
        <v>0.0</v>
      </c>
      <c r="J47" s="35">
        <v>0.0</v>
      </c>
      <c r="K47" s="36">
        <v>0.0</v>
      </c>
      <c r="L47" s="36">
        <v>0.0</v>
      </c>
      <c r="M47" s="37">
        <v>0.0</v>
      </c>
      <c r="N47" s="38">
        <v>0.0</v>
      </c>
      <c r="O47" s="39">
        <v>0.0</v>
      </c>
      <c r="P47" s="30">
        <v>0.0</v>
      </c>
      <c r="Q47" s="31">
        <v>0.0</v>
      </c>
      <c r="R47" s="31">
        <v>0.0</v>
      </c>
      <c r="S47" s="31">
        <v>0.0</v>
      </c>
      <c r="T47" s="31">
        <v>0.0</v>
      </c>
    </row>
    <row r="48" ht="22.5" customHeight="1">
      <c r="A48" s="55">
        <f t="shared" si="5"/>
        <v>0</v>
      </c>
      <c r="B48" s="54" t="s">
        <v>62</v>
      </c>
      <c r="C48" s="48">
        <v>0.0</v>
      </c>
      <c r="D48" s="42">
        <v>0.0</v>
      </c>
      <c r="E48" s="43">
        <v>0.0</v>
      </c>
      <c r="F48" s="44">
        <v>0.0</v>
      </c>
      <c r="G48" s="45">
        <v>0.0</v>
      </c>
      <c r="H48" s="33">
        <v>0.0</v>
      </c>
      <c r="I48" s="34">
        <v>0.0</v>
      </c>
      <c r="J48" s="35">
        <v>0.0</v>
      </c>
      <c r="K48" s="36">
        <v>0.0</v>
      </c>
      <c r="L48" s="36">
        <v>0.0</v>
      </c>
      <c r="M48" s="37">
        <v>0.0</v>
      </c>
      <c r="N48" s="38">
        <v>0.0</v>
      </c>
      <c r="O48" s="39">
        <v>0.0</v>
      </c>
      <c r="P48" s="30">
        <v>0.0</v>
      </c>
      <c r="Q48" s="31">
        <v>0.0</v>
      </c>
      <c r="R48" s="31">
        <v>0.0</v>
      </c>
      <c r="S48" s="31">
        <v>0.0</v>
      </c>
      <c r="T48" s="31">
        <v>0.0</v>
      </c>
    </row>
    <row r="49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</row>
    <row r="50">
      <c r="B50" s="57" t="s">
        <v>63</v>
      </c>
      <c r="C50" s="57">
        <v>10.0</v>
      </c>
      <c r="D50" s="57">
        <v>0.0</v>
      </c>
      <c r="E50" s="57">
        <v>0.0</v>
      </c>
      <c r="F50" s="57">
        <v>0.0</v>
      </c>
      <c r="G50" s="57">
        <v>0.0</v>
      </c>
      <c r="H50" s="57">
        <v>0.0</v>
      </c>
      <c r="I50" s="57">
        <v>0.0</v>
      </c>
      <c r="J50" s="57">
        <v>0.0</v>
      </c>
      <c r="K50" s="57">
        <v>0.0</v>
      </c>
      <c r="L50" s="57">
        <v>0.0</v>
      </c>
      <c r="M50" s="57">
        <v>0.0</v>
      </c>
      <c r="N50" s="57">
        <v>0.0</v>
      </c>
      <c r="O50" s="57">
        <v>0.0</v>
      </c>
      <c r="P50" s="57">
        <v>0.0</v>
      </c>
      <c r="Q50" s="57">
        <v>0.0</v>
      </c>
      <c r="R50" s="57">
        <v>0.0</v>
      </c>
      <c r="S50" s="57">
        <v>0.0</v>
      </c>
      <c r="T50" s="57">
        <v>0.0</v>
      </c>
    </row>
    <row r="51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</row>
    <row r="52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6"/>
      <c r="M52" s="56"/>
      <c r="N52" s="56"/>
      <c r="O52" s="56"/>
      <c r="P52" s="56"/>
      <c r="Q52" s="56"/>
      <c r="R52" s="9">
        <v>0.0</v>
      </c>
      <c r="S52" s="56"/>
      <c r="T52" s="56"/>
    </row>
    <row r="53">
      <c r="A53" s="58"/>
      <c r="B53" s="60"/>
      <c r="C53" s="61"/>
      <c r="D53" s="61"/>
      <c r="E53" s="61"/>
      <c r="F53" s="58"/>
      <c r="G53" s="58"/>
      <c r="H53" s="60"/>
      <c r="I53" s="60"/>
      <c r="J53" s="58"/>
      <c r="K53" s="59"/>
      <c r="L53" s="56"/>
      <c r="M53" s="56"/>
      <c r="N53" s="56"/>
      <c r="O53" s="56"/>
      <c r="P53" s="56"/>
      <c r="Q53" s="56"/>
      <c r="R53" s="56"/>
      <c r="S53" s="56"/>
      <c r="T53" s="56"/>
    </row>
    <row r="54">
      <c r="A54" s="62"/>
      <c r="B54" s="63"/>
      <c r="C54" s="63"/>
      <c r="D54" s="63"/>
      <c r="E54" s="63"/>
      <c r="F54" s="58"/>
      <c r="G54" s="58"/>
      <c r="H54" s="60"/>
      <c r="I54" s="60"/>
      <c r="J54" s="58"/>
      <c r="K54" s="59"/>
      <c r="L54" s="56"/>
      <c r="M54" s="56"/>
      <c r="N54" s="56"/>
      <c r="O54" s="56"/>
      <c r="P54" s="56"/>
      <c r="Q54" s="56"/>
      <c r="R54" s="56"/>
      <c r="S54" s="56"/>
      <c r="T54" s="56"/>
    </row>
    <row r="55">
      <c r="A55" s="64"/>
      <c r="B55" s="63"/>
      <c r="C55" s="63"/>
      <c r="D55" s="63"/>
      <c r="E55" s="63"/>
      <c r="F55" s="59"/>
      <c r="G55" s="60"/>
      <c r="I55" s="58"/>
      <c r="J55" s="58"/>
      <c r="K55" s="59"/>
      <c r="L55" s="56"/>
      <c r="M55" s="56"/>
      <c r="N55" s="56"/>
      <c r="O55" s="56"/>
      <c r="P55" s="56"/>
      <c r="Q55" s="56"/>
      <c r="R55" s="56"/>
      <c r="S55" s="56"/>
      <c r="T55" s="56"/>
    </row>
    <row r="56">
      <c r="A56" s="64"/>
      <c r="B56" s="63"/>
      <c r="C56" s="63"/>
      <c r="D56" s="63"/>
      <c r="E56" s="63"/>
      <c r="F56" s="59"/>
      <c r="G56" s="60"/>
      <c r="I56" s="59"/>
      <c r="J56" s="61"/>
      <c r="K56" s="65"/>
      <c r="L56" s="56"/>
      <c r="M56" s="56"/>
      <c r="N56" s="56"/>
      <c r="O56" s="56"/>
      <c r="P56" s="56"/>
      <c r="Q56" s="56"/>
      <c r="R56" s="56"/>
      <c r="S56" s="56"/>
      <c r="T56" s="56"/>
    </row>
    <row r="57">
      <c r="A57" s="64"/>
      <c r="B57" s="63"/>
      <c r="C57" s="63"/>
      <c r="D57" s="63"/>
      <c r="E57" s="63"/>
      <c r="F57" s="59"/>
      <c r="G57" s="60"/>
      <c r="I57" s="59"/>
      <c r="J57" s="61"/>
      <c r="K57" s="66"/>
      <c r="L57" s="56"/>
      <c r="M57" s="56"/>
      <c r="N57" s="56"/>
      <c r="O57" s="56"/>
      <c r="P57" s="56"/>
      <c r="Q57" s="56"/>
      <c r="R57" s="56"/>
      <c r="S57" s="56"/>
      <c r="T57" s="56"/>
    </row>
    <row r="58">
      <c r="A58" s="64"/>
      <c r="B58" s="63"/>
      <c r="C58" s="63"/>
      <c r="D58" s="63"/>
      <c r="E58" s="63"/>
      <c r="F58" s="59"/>
      <c r="G58" s="60"/>
      <c r="I58" s="59"/>
      <c r="J58" s="67"/>
      <c r="K58" s="67"/>
      <c r="L58" s="56"/>
      <c r="M58" s="56"/>
      <c r="N58" s="56"/>
      <c r="O58" s="56"/>
      <c r="P58" s="56"/>
      <c r="Q58" s="56"/>
      <c r="R58" s="56"/>
      <c r="S58" s="56"/>
      <c r="T58" s="56"/>
    </row>
    <row r="59">
      <c r="A59" s="64"/>
      <c r="B59" s="63"/>
      <c r="C59" s="63"/>
      <c r="D59" s="63"/>
      <c r="E59" s="63"/>
      <c r="F59" s="59"/>
      <c r="G59" s="60"/>
      <c r="I59" s="59"/>
      <c r="J59" s="61"/>
      <c r="K59" s="66"/>
      <c r="L59" s="56"/>
      <c r="M59" s="56"/>
      <c r="N59" s="56"/>
      <c r="O59" s="56"/>
      <c r="P59" s="56"/>
      <c r="Q59" s="56"/>
      <c r="R59" s="56"/>
      <c r="S59" s="56"/>
      <c r="T59" s="56"/>
    </row>
    <row r="60">
      <c r="A60" s="64"/>
      <c r="B60" s="63"/>
      <c r="C60" s="63"/>
      <c r="D60" s="63"/>
      <c r="E60" s="63"/>
      <c r="F60" s="58"/>
      <c r="G60" s="58"/>
      <c r="H60" s="59"/>
      <c r="I60" s="59"/>
      <c r="J60" s="59"/>
      <c r="K60" s="59"/>
      <c r="L60" s="56"/>
      <c r="M60" s="56"/>
      <c r="N60" s="56"/>
      <c r="O60" s="56"/>
      <c r="P60" s="56"/>
      <c r="Q60" s="56"/>
      <c r="R60" s="56"/>
      <c r="S60" s="56"/>
      <c r="T60" s="56"/>
    </row>
    <row r="61">
      <c r="A61" s="64"/>
      <c r="B61" s="63"/>
      <c r="C61" s="63"/>
      <c r="D61" s="63"/>
      <c r="E61" s="63"/>
      <c r="F61" s="58"/>
      <c r="G61" s="60"/>
      <c r="I61" s="59"/>
      <c r="J61" s="59"/>
      <c r="K61" s="59"/>
      <c r="L61" s="56"/>
      <c r="M61" s="56"/>
      <c r="N61" s="56"/>
      <c r="O61" s="56"/>
      <c r="P61" s="56"/>
      <c r="Q61" s="56"/>
      <c r="R61" s="56"/>
      <c r="S61" s="56"/>
      <c r="T61" s="56"/>
    </row>
    <row r="62">
      <c r="A62" s="64"/>
      <c r="B62" s="63"/>
      <c r="C62" s="63"/>
      <c r="D62" s="63"/>
      <c r="E62" s="63"/>
      <c r="F62" s="58"/>
      <c r="G62" s="60"/>
      <c r="I62" s="59"/>
      <c r="J62" s="59"/>
      <c r="K62" s="59"/>
      <c r="L62" s="56"/>
      <c r="M62" s="56"/>
      <c r="N62" s="56"/>
      <c r="O62" s="56"/>
      <c r="P62" s="56"/>
      <c r="Q62" s="56"/>
      <c r="R62" s="56"/>
      <c r="S62" s="56"/>
      <c r="T62" s="56"/>
    </row>
    <row r="63">
      <c r="A63" s="64"/>
      <c r="B63" s="63"/>
      <c r="C63" s="63"/>
      <c r="D63" s="63"/>
      <c r="E63" s="63"/>
      <c r="F63" s="58"/>
      <c r="G63" s="58"/>
      <c r="H63" s="59"/>
      <c r="I63" s="59"/>
      <c r="J63" s="59"/>
      <c r="K63" s="59"/>
      <c r="L63" s="56"/>
      <c r="M63" s="56"/>
      <c r="N63" s="56"/>
      <c r="O63" s="56"/>
      <c r="P63" s="56"/>
      <c r="Q63" s="56"/>
      <c r="R63" s="56"/>
      <c r="S63" s="56"/>
      <c r="T63" s="56"/>
    </row>
    <row r="64">
      <c r="A64" s="64"/>
      <c r="B64" s="63"/>
      <c r="C64" s="63"/>
      <c r="D64" s="63"/>
      <c r="E64" s="63"/>
      <c r="F64" s="59"/>
      <c r="G64" s="59"/>
      <c r="H64" s="59"/>
      <c r="I64" s="59"/>
      <c r="J64" s="59"/>
      <c r="K64" s="59"/>
      <c r="L64" s="56"/>
      <c r="M64" s="56"/>
      <c r="N64" s="56"/>
      <c r="O64" s="56"/>
      <c r="P64" s="56"/>
      <c r="Q64" s="56"/>
      <c r="R64" s="56"/>
      <c r="S64" s="56"/>
      <c r="T64" s="56"/>
    </row>
    <row r="65">
      <c r="A65" s="64"/>
      <c r="B65" s="63"/>
      <c r="C65" s="63"/>
      <c r="D65" s="63"/>
      <c r="E65" s="63"/>
      <c r="F65" s="59"/>
      <c r="G65" s="59"/>
      <c r="H65" s="59"/>
      <c r="I65" s="59"/>
      <c r="J65" s="59"/>
      <c r="K65" s="59"/>
      <c r="L65" s="56"/>
      <c r="M65" s="56"/>
      <c r="N65" s="56"/>
      <c r="O65" s="56"/>
      <c r="P65" s="56"/>
      <c r="Q65" s="56"/>
      <c r="R65" s="56"/>
      <c r="S65" s="56"/>
      <c r="T65" s="56"/>
    </row>
    <row r="66">
      <c r="A66" s="64"/>
      <c r="B66" s="63"/>
      <c r="C66" s="63"/>
      <c r="D66" s="63"/>
      <c r="E66" s="63"/>
      <c r="F66" s="58"/>
      <c r="G66" s="58"/>
      <c r="H66" s="58"/>
      <c r="I66" s="58"/>
      <c r="J66" s="58"/>
      <c r="K66" s="58"/>
    </row>
    <row r="67">
      <c r="A67" s="64"/>
      <c r="B67" s="63"/>
      <c r="C67" s="63"/>
      <c r="D67" s="63"/>
      <c r="E67" s="63"/>
      <c r="F67" s="58"/>
      <c r="G67" s="58"/>
      <c r="H67" s="58"/>
      <c r="I67" s="58"/>
      <c r="J67" s="60"/>
    </row>
    <row r="68">
      <c r="A68" s="64"/>
      <c r="B68" s="63"/>
      <c r="C68" s="63"/>
      <c r="D68" s="63"/>
      <c r="E68" s="63"/>
      <c r="F68" s="58"/>
      <c r="G68" s="58"/>
      <c r="H68" s="58"/>
      <c r="I68" s="58"/>
      <c r="J68" s="58"/>
      <c r="K68" s="60"/>
    </row>
    <row r="69">
      <c r="A69" s="64"/>
      <c r="B69" s="63"/>
      <c r="C69" s="63"/>
      <c r="D69" s="63"/>
      <c r="E69" s="63"/>
      <c r="F69" s="58"/>
      <c r="G69" s="58"/>
      <c r="H69" s="58"/>
      <c r="I69" s="58"/>
      <c r="J69" s="58"/>
      <c r="K69" s="58"/>
    </row>
    <row r="70">
      <c r="A70" s="64"/>
      <c r="B70" s="63"/>
      <c r="C70" s="63"/>
      <c r="D70" s="63"/>
      <c r="E70" s="63"/>
      <c r="F70" s="58"/>
      <c r="G70" s="58"/>
      <c r="H70" s="58"/>
      <c r="I70" s="58"/>
      <c r="J70" s="58"/>
      <c r="K70" s="58"/>
    </row>
    <row r="71">
      <c r="A71" s="64"/>
      <c r="B71" s="63"/>
      <c r="C71" s="63"/>
      <c r="D71" s="63"/>
      <c r="E71" s="63"/>
      <c r="F71" s="58"/>
      <c r="G71" s="58"/>
      <c r="H71" s="58"/>
      <c r="I71" s="58"/>
      <c r="J71" s="58"/>
      <c r="K71" s="58"/>
    </row>
    <row r="72">
      <c r="A72" s="64"/>
      <c r="B72" s="63"/>
      <c r="C72" s="63"/>
      <c r="D72" s="63"/>
      <c r="E72" s="63"/>
      <c r="F72" s="58"/>
      <c r="G72" s="58"/>
      <c r="H72" s="58"/>
      <c r="I72" s="58"/>
      <c r="J72" s="58"/>
      <c r="K72" s="58"/>
    </row>
    <row r="73">
      <c r="A73" s="64"/>
      <c r="B73" s="63"/>
      <c r="C73" s="63"/>
      <c r="D73" s="63"/>
      <c r="E73" s="63"/>
      <c r="F73" s="58"/>
      <c r="G73" s="58"/>
      <c r="H73" s="58"/>
      <c r="I73" s="58"/>
      <c r="J73" s="58"/>
      <c r="K73" s="58"/>
    </row>
    <row r="74">
      <c r="A74" s="64"/>
      <c r="B74" s="63"/>
      <c r="C74" s="63"/>
      <c r="D74" s="63"/>
      <c r="E74" s="63"/>
      <c r="F74" s="58"/>
      <c r="G74" s="58"/>
      <c r="H74" s="58"/>
      <c r="I74" s="58"/>
      <c r="J74" s="58"/>
      <c r="K74" s="58"/>
    </row>
    <row r="75">
      <c r="A75" s="64"/>
      <c r="B75" s="63"/>
      <c r="C75" s="63"/>
      <c r="D75" s="63"/>
      <c r="E75" s="63"/>
      <c r="F75" s="58"/>
      <c r="G75" s="58"/>
      <c r="H75" s="58"/>
      <c r="I75" s="58"/>
      <c r="J75" s="58"/>
      <c r="K75" s="58"/>
    </row>
    <row r="76">
      <c r="A76" s="64"/>
      <c r="B76" s="63"/>
      <c r="C76" s="63"/>
      <c r="D76" s="63"/>
      <c r="E76" s="63"/>
      <c r="F76" s="58"/>
      <c r="G76" s="58"/>
      <c r="H76" s="58"/>
      <c r="I76" s="58"/>
      <c r="J76" s="58"/>
      <c r="K76" s="58"/>
    </row>
    <row r="77">
      <c r="A77" s="64"/>
      <c r="B77" s="63"/>
      <c r="C77" s="63"/>
      <c r="D77" s="63"/>
      <c r="E77" s="63"/>
      <c r="F77" s="58"/>
      <c r="G77" s="58"/>
      <c r="H77" s="58"/>
      <c r="I77" s="58"/>
      <c r="J77" s="58"/>
      <c r="K77" s="58"/>
    </row>
    <row r="78">
      <c r="A78" s="64"/>
      <c r="B78" s="63"/>
      <c r="C78" s="63"/>
      <c r="D78" s="63"/>
      <c r="E78" s="63"/>
      <c r="F78" s="58"/>
      <c r="G78" s="58"/>
      <c r="H78" s="58"/>
      <c r="I78" s="58"/>
      <c r="J78" s="58"/>
      <c r="K78" s="58"/>
    </row>
    <row r="79">
      <c r="A79" s="64"/>
      <c r="B79" s="63"/>
      <c r="C79" s="63"/>
      <c r="D79" s="63"/>
      <c r="E79" s="63"/>
      <c r="F79" s="58"/>
      <c r="G79" s="58"/>
      <c r="H79" s="58"/>
      <c r="I79" s="58"/>
      <c r="J79" s="58"/>
      <c r="K79" s="58"/>
    </row>
    <row r="80">
      <c r="A80" s="64"/>
      <c r="B80" s="63"/>
      <c r="C80" s="63"/>
      <c r="D80" s="63"/>
      <c r="E80" s="63"/>
      <c r="F80" s="58"/>
      <c r="G80" s="58"/>
      <c r="H80" s="58"/>
      <c r="I80" s="58"/>
      <c r="J80" s="58"/>
      <c r="K80" s="58"/>
    </row>
    <row r="81">
      <c r="A81" s="64"/>
      <c r="B81" s="63"/>
      <c r="C81" s="63"/>
      <c r="D81" s="63"/>
      <c r="E81" s="63"/>
      <c r="F81" s="58"/>
      <c r="G81" s="58"/>
      <c r="H81" s="58"/>
      <c r="I81" s="58"/>
      <c r="J81" s="58"/>
      <c r="K81" s="58"/>
    </row>
    <row r="82">
      <c r="A82" s="64"/>
      <c r="B82" s="63"/>
      <c r="C82" s="63"/>
      <c r="D82" s="63"/>
      <c r="E82" s="63"/>
      <c r="F82" s="58"/>
      <c r="G82" s="58"/>
      <c r="H82" s="58"/>
      <c r="I82" s="58"/>
      <c r="J82" s="58"/>
      <c r="K82" s="58"/>
    </row>
    <row r="83">
      <c r="A83" s="64"/>
      <c r="B83" s="63"/>
      <c r="C83" s="63"/>
      <c r="D83" s="63"/>
      <c r="E83" s="63"/>
      <c r="F83" s="58"/>
      <c r="G83" s="58"/>
      <c r="H83" s="58"/>
      <c r="I83" s="58"/>
      <c r="J83" s="58"/>
      <c r="K83" s="58"/>
    </row>
    <row r="84">
      <c r="A84" s="64"/>
      <c r="B84" s="63"/>
      <c r="C84" s="63"/>
      <c r="D84" s="63"/>
      <c r="E84" s="63"/>
      <c r="F84" s="58"/>
      <c r="G84" s="58"/>
      <c r="H84" s="58"/>
      <c r="I84" s="58"/>
      <c r="J84" s="58"/>
      <c r="K84" s="58"/>
    </row>
    <row r="85">
      <c r="A85" s="64"/>
      <c r="B85" s="63"/>
      <c r="C85" s="63"/>
      <c r="D85" s="63"/>
      <c r="E85" s="63"/>
      <c r="F85" s="58"/>
      <c r="G85" s="58"/>
      <c r="H85" s="58"/>
      <c r="I85" s="58"/>
      <c r="J85" s="58"/>
      <c r="K85" s="58"/>
    </row>
    <row r="86">
      <c r="A86" s="64"/>
      <c r="B86" s="63"/>
      <c r="C86" s="63"/>
      <c r="D86" s="63"/>
      <c r="E86" s="63"/>
      <c r="F86" s="58"/>
      <c r="G86" s="58"/>
      <c r="H86" s="58"/>
      <c r="I86" s="58"/>
      <c r="J86" s="58"/>
      <c r="K86" s="58"/>
    </row>
    <row r="87">
      <c r="A87" s="64"/>
      <c r="B87" s="63"/>
      <c r="C87" s="63"/>
      <c r="D87" s="63"/>
      <c r="E87" s="63"/>
      <c r="F87" s="58"/>
      <c r="G87" s="58"/>
      <c r="H87" s="58"/>
      <c r="I87" s="58"/>
      <c r="J87" s="58"/>
      <c r="K87" s="58"/>
    </row>
    <row r="88">
      <c r="A88" s="64"/>
      <c r="B88" s="63"/>
      <c r="C88" s="63"/>
      <c r="D88" s="63"/>
      <c r="E88" s="63"/>
      <c r="F88" s="58"/>
      <c r="G88" s="58"/>
      <c r="H88" s="58"/>
      <c r="I88" s="58"/>
      <c r="J88" s="58"/>
      <c r="K88" s="58"/>
    </row>
    <row r="89">
      <c r="A89" s="64"/>
      <c r="B89" s="63"/>
      <c r="C89" s="63"/>
      <c r="D89" s="63"/>
      <c r="E89" s="63"/>
      <c r="F89" s="58"/>
      <c r="G89" s="58"/>
      <c r="H89" s="58"/>
      <c r="I89" s="58"/>
      <c r="J89" s="58"/>
      <c r="K89" s="58"/>
    </row>
    <row r="90">
      <c r="A90" s="64"/>
      <c r="B90" s="63"/>
      <c r="C90" s="63"/>
      <c r="D90" s="63"/>
      <c r="E90" s="63"/>
      <c r="F90" s="58"/>
      <c r="G90" s="58"/>
      <c r="H90" s="58"/>
      <c r="I90" s="58"/>
      <c r="J90" s="58"/>
      <c r="K90" s="58"/>
    </row>
    <row r="91">
      <c r="A91" s="64"/>
      <c r="B91" s="63"/>
      <c r="C91" s="63"/>
      <c r="D91" s="63"/>
      <c r="E91" s="63"/>
      <c r="F91" s="58"/>
      <c r="G91" s="58"/>
      <c r="H91" s="58"/>
      <c r="I91" s="58"/>
      <c r="J91" s="58"/>
      <c r="K91" s="58"/>
    </row>
    <row r="92">
      <c r="A92" s="64"/>
      <c r="B92" s="63"/>
      <c r="C92" s="63"/>
      <c r="D92" s="63"/>
      <c r="E92" s="63"/>
      <c r="F92" s="58"/>
      <c r="G92" s="58"/>
      <c r="H92" s="58"/>
      <c r="I92" s="58"/>
      <c r="J92" s="58"/>
      <c r="K92" s="58"/>
    </row>
    <row r="93">
      <c r="A93" s="64"/>
      <c r="B93" s="63"/>
      <c r="C93" s="63"/>
      <c r="D93" s="63"/>
      <c r="E93" s="63"/>
      <c r="F93" s="58"/>
      <c r="G93" s="58"/>
      <c r="H93" s="58"/>
      <c r="I93" s="58"/>
      <c r="J93" s="58"/>
      <c r="K93" s="58"/>
    </row>
    <row r="94">
      <c r="A94" s="64"/>
      <c r="B94" s="63"/>
      <c r="C94" s="63"/>
      <c r="D94" s="63"/>
      <c r="E94" s="63"/>
      <c r="F94" s="58"/>
      <c r="G94" s="58"/>
      <c r="H94" s="58"/>
      <c r="I94" s="58"/>
      <c r="J94" s="58"/>
      <c r="K94" s="58"/>
    </row>
    <row r="95">
      <c r="B95" s="68"/>
      <c r="E95" s="69"/>
    </row>
    <row r="96">
      <c r="E96" s="69"/>
    </row>
    <row r="97">
      <c r="E97" s="69"/>
    </row>
    <row r="98">
      <c r="E98" s="69"/>
    </row>
    <row r="99">
      <c r="E99" s="70"/>
    </row>
    <row r="100">
      <c r="E100" s="70"/>
    </row>
  </sheetData>
  <mergeCells count="14">
    <mergeCell ref="G56:H56"/>
    <mergeCell ref="G57:H57"/>
    <mergeCell ref="G58:H58"/>
    <mergeCell ref="G59:H59"/>
    <mergeCell ref="G61:H61"/>
    <mergeCell ref="G62:H62"/>
    <mergeCell ref="J67:K67"/>
    <mergeCell ref="C5:D6"/>
    <mergeCell ref="E5:G6"/>
    <mergeCell ref="H5:I6"/>
    <mergeCell ref="J5:M6"/>
    <mergeCell ref="N5:O6"/>
    <mergeCell ref="P5:T6"/>
    <mergeCell ref="G55:H5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9.5"/>
    <col customWidth="1" min="2" max="2" width="37.0"/>
    <col customWidth="1" min="3" max="3" width="29.63"/>
    <col customWidth="1" min="4" max="4" width="29.0"/>
    <col customWidth="1" min="5" max="5" width="33.13"/>
    <col customWidth="1" min="8" max="8" width="19.13"/>
    <col customWidth="1" min="10" max="10" width="19.25"/>
  </cols>
  <sheetData>
    <row r="2">
      <c r="B2" s="9"/>
      <c r="C2" s="71" t="s">
        <v>64</v>
      </c>
      <c r="D2" s="72"/>
      <c r="E2" s="73" t="s">
        <v>65</v>
      </c>
      <c r="H2" s="60"/>
      <c r="I2" s="60"/>
      <c r="J2" s="58"/>
      <c r="K2" s="59"/>
    </row>
    <row r="3" ht="22.5" customHeight="1">
      <c r="A3" s="14" t="s">
        <v>6</v>
      </c>
      <c r="B3" s="15" t="s">
        <v>7</v>
      </c>
      <c r="C3" s="15" t="s">
        <v>27</v>
      </c>
      <c r="D3" s="15" t="s">
        <v>28</v>
      </c>
      <c r="E3" s="15" t="s">
        <v>66</v>
      </c>
      <c r="H3" s="60"/>
      <c r="I3" s="60"/>
      <c r="J3" s="58"/>
      <c r="K3" s="59"/>
    </row>
    <row r="4" ht="22.5" customHeight="1">
      <c r="A4" s="74">
        <f t="shared" ref="A4:A12" si="1">SUM(C4:E4)</f>
        <v>0</v>
      </c>
      <c r="B4" s="75" t="s">
        <v>67</v>
      </c>
      <c r="C4" s="76">
        <f t="array" ref="C4:C43">Feuille1!C55:C94*$H$6</f>
        <v>0</v>
      </c>
      <c r="D4" s="77">
        <f t="array" ref="D4:D43">Feuille1!D55:D94*$H$8</f>
        <v>0</v>
      </c>
      <c r="E4" s="78">
        <f t="array" ref="E4:E43">Feuille1!E55:E94*$H$11</f>
        <v>0</v>
      </c>
      <c r="F4" s="56"/>
      <c r="G4" s="79" t="s">
        <v>68</v>
      </c>
      <c r="H4" s="11"/>
      <c r="I4" s="58"/>
      <c r="J4" s="58"/>
      <c r="K4" s="59"/>
    </row>
    <row r="5" ht="22.5" customHeight="1">
      <c r="A5" s="80">
        <f t="shared" si="1"/>
        <v>0</v>
      </c>
      <c r="B5" s="75" t="s">
        <v>69</v>
      </c>
      <c r="C5" s="81">
        <v>0.0</v>
      </c>
      <c r="D5" s="21">
        <v>0.0</v>
      </c>
      <c r="E5" s="34">
        <v>0.0</v>
      </c>
      <c r="F5" s="56"/>
      <c r="G5" s="7" t="s">
        <v>27</v>
      </c>
      <c r="H5" s="2"/>
      <c r="I5" s="59"/>
      <c r="J5" s="61" t="s">
        <v>70</v>
      </c>
      <c r="K5" s="65"/>
    </row>
    <row r="6" ht="22.5" customHeight="1">
      <c r="A6" s="80">
        <f t="shared" si="1"/>
        <v>0</v>
      </c>
      <c r="B6" s="75" t="s">
        <v>71</v>
      </c>
      <c r="C6" s="81">
        <v>0.0</v>
      </c>
      <c r="D6" s="44">
        <v>0.0</v>
      </c>
      <c r="E6" s="34">
        <v>0.0</v>
      </c>
      <c r="F6" s="56"/>
      <c r="G6" s="82" t="s">
        <v>72</v>
      </c>
      <c r="H6" s="83">
        <v>0.0</v>
      </c>
      <c r="I6" s="59"/>
      <c r="J6" s="84">
        <f>SUM(H6/6)</f>
        <v>0</v>
      </c>
      <c r="K6" s="85" t="s">
        <v>73</v>
      </c>
    </row>
    <row r="7" ht="22.5" customHeight="1">
      <c r="A7" s="80">
        <f t="shared" si="1"/>
        <v>0</v>
      </c>
      <c r="B7" s="75" t="s">
        <v>74</v>
      </c>
      <c r="C7" s="81">
        <v>0.0</v>
      </c>
      <c r="D7" s="44">
        <v>0.0</v>
      </c>
      <c r="E7" s="34">
        <v>0.0</v>
      </c>
      <c r="F7" s="56"/>
      <c r="G7" s="86" t="s">
        <v>28</v>
      </c>
      <c r="H7" s="87"/>
      <c r="I7" s="59"/>
      <c r="J7" s="67"/>
      <c r="K7" s="67"/>
    </row>
    <row r="8" ht="22.5" customHeight="1">
      <c r="A8" s="80">
        <f t="shared" si="1"/>
        <v>0</v>
      </c>
      <c r="B8" s="75" t="s">
        <v>75</v>
      </c>
      <c r="C8" s="81">
        <v>0.0</v>
      </c>
      <c r="D8" s="44">
        <v>0.0</v>
      </c>
      <c r="E8" s="34">
        <v>0.0</v>
      </c>
      <c r="F8" s="56"/>
      <c r="G8" s="82" t="s">
        <v>72</v>
      </c>
      <c r="H8" s="83">
        <v>0.0</v>
      </c>
      <c r="I8" s="59"/>
      <c r="J8" s="84">
        <f>SUM(H8/6)</f>
        <v>0</v>
      </c>
      <c r="K8" s="85" t="s">
        <v>73</v>
      </c>
    </row>
    <row r="9" ht="22.5" customHeight="1">
      <c r="A9" s="80">
        <f t="shared" si="1"/>
        <v>0</v>
      </c>
      <c r="B9" s="75" t="s">
        <v>76</v>
      </c>
      <c r="C9" s="81">
        <v>0.0</v>
      </c>
      <c r="D9" s="44">
        <v>0.0</v>
      </c>
      <c r="E9" s="34">
        <v>0.0</v>
      </c>
      <c r="H9" s="59"/>
      <c r="I9" s="59"/>
      <c r="J9" s="59"/>
      <c r="K9" s="59"/>
    </row>
    <row r="10" ht="22.5" customHeight="1">
      <c r="A10" s="80">
        <f t="shared" si="1"/>
        <v>0</v>
      </c>
      <c r="B10" s="75" t="s">
        <v>77</v>
      </c>
      <c r="C10" s="81">
        <v>0.0</v>
      </c>
      <c r="D10" s="44">
        <v>0.0</v>
      </c>
      <c r="E10" s="34">
        <v>0.0</v>
      </c>
      <c r="G10" s="6" t="s">
        <v>78</v>
      </c>
      <c r="H10" s="2"/>
      <c r="I10" s="59"/>
      <c r="J10" s="59"/>
      <c r="K10" s="59"/>
    </row>
    <row r="11" ht="22.5" customHeight="1">
      <c r="A11" s="80">
        <f t="shared" si="1"/>
        <v>0</v>
      </c>
      <c r="B11" s="75" t="s">
        <v>79</v>
      </c>
      <c r="C11" s="81">
        <v>0.0</v>
      </c>
      <c r="D11" s="44">
        <v>0.0</v>
      </c>
      <c r="E11" s="34">
        <v>0.0</v>
      </c>
      <c r="G11" s="82" t="s">
        <v>72</v>
      </c>
      <c r="H11" s="83"/>
      <c r="I11" s="59"/>
      <c r="J11" s="59"/>
      <c r="K11" s="59"/>
    </row>
    <row r="12" ht="22.5" customHeight="1">
      <c r="A12" s="80">
        <f t="shared" si="1"/>
        <v>0</v>
      </c>
      <c r="B12" s="75" t="s">
        <v>40</v>
      </c>
      <c r="C12" s="81">
        <v>0.0</v>
      </c>
      <c r="D12" s="44">
        <v>0.0</v>
      </c>
      <c r="E12" s="24">
        <v>0.0</v>
      </c>
      <c r="H12" s="59"/>
      <c r="I12" s="59"/>
      <c r="J12" s="59"/>
      <c r="K12" s="59"/>
    </row>
    <row r="13" ht="22.5" customHeight="1">
      <c r="A13" s="88"/>
      <c r="B13" s="89"/>
      <c r="C13" s="90">
        <v>0.0</v>
      </c>
      <c r="D13" s="44">
        <v>0.0</v>
      </c>
      <c r="E13" s="34">
        <v>0.0</v>
      </c>
      <c r="F13" s="56"/>
      <c r="G13" s="56"/>
      <c r="H13" s="59"/>
      <c r="I13" s="59"/>
      <c r="J13" s="59"/>
      <c r="K13" s="59"/>
    </row>
    <row r="14" ht="22.5" customHeight="1">
      <c r="A14" s="80">
        <f t="shared" ref="A14:A22" si="2">SUM(C14:E14)</f>
        <v>0</v>
      </c>
      <c r="B14" s="91" t="s">
        <v>80</v>
      </c>
      <c r="C14" s="90">
        <v>0.0</v>
      </c>
      <c r="D14" s="21">
        <v>0.0</v>
      </c>
      <c r="E14" s="34">
        <v>0.0</v>
      </c>
      <c r="F14" s="56"/>
      <c r="G14" s="56"/>
      <c r="H14" s="59"/>
      <c r="I14" s="59"/>
      <c r="J14" s="59"/>
      <c r="K14" s="59"/>
    </row>
    <row r="15" ht="22.5" customHeight="1">
      <c r="A15" s="80">
        <f t="shared" si="2"/>
        <v>0</v>
      </c>
      <c r="B15" s="91" t="s">
        <v>81</v>
      </c>
      <c r="C15" s="90">
        <v>0.0</v>
      </c>
      <c r="D15" s="21">
        <v>0.0</v>
      </c>
      <c r="E15" s="34">
        <v>0.0</v>
      </c>
      <c r="H15" s="58"/>
      <c r="I15" s="58"/>
      <c r="J15" s="58"/>
      <c r="K15" s="58"/>
    </row>
    <row r="16" ht="22.5" customHeight="1">
      <c r="A16" s="80">
        <f t="shared" si="2"/>
        <v>0</v>
      </c>
      <c r="B16" s="91" t="s">
        <v>82</v>
      </c>
      <c r="C16" s="90">
        <v>0.0</v>
      </c>
      <c r="D16" s="21">
        <v>0.0</v>
      </c>
      <c r="E16" s="34">
        <v>0.0</v>
      </c>
      <c r="H16" s="58"/>
      <c r="I16" s="58"/>
      <c r="J16" s="60"/>
      <c r="K16" s="60"/>
    </row>
    <row r="17" ht="22.5" customHeight="1">
      <c r="A17" s="80">
        <f t="shared" si="2"/>
        <v>0</v>
      </c>
      <c r="B17" s="91" t="s">
        <v>83</v>
      </c>
      <c r="C17" s="90">
        <v>0.0</v>
      </c>
      <c r="D17" s="21">
        <v>0.0</v>
      </c>
      <c r="E17" s="34">
        <v>0.0</v>
      </c>
      <c r="H17" s="58"/>
      <c r="I17" s="58"/>
      <c r="J17" s="58"/>
      <c r="K17" s="60"/>
    </row>
    <row r="18" ht="22.5" customHeight="1">
      <c r="A18" s="80">
        <f t="shared" si="2"/>
        <v>0</v>
      </c>
      <c r="B18" s="91" t="s">
        <v>84</v>
      </c>
      <c r="C18" s="90">
        <v>0.0</v>
      </c>
      <c r="D18" s="21">
        <v>0.0</v>
      </c>
      <c r="E18" s="34">
        <v>0.0</v>
      </c>
      <c r="H18" s="58"/>
      <c r="I18" s="58"/>
      <c r="J18" s="58"/>
      <c r="K18" s="58"/>
    </row>
    <row r="19" ht="22.5" customHeight="1">
      <c r="A19" s="80">
        <f t="shared" si="2"/>
        <v>0</v>
      </c>
      <c r="B19" s="91" t="s">
        <v>85</v>
      </c>
      <c r="C19" s="90">
        <v>0.0</v>
      </c>
      <c r="D19" s="21">
        <v>0.0</v>
      </c>
      <c r="E19" s="34">
        <v>0.0</v>
      </c>
      <c r="H19" s="58"/>
      <c r="I19" s="58"/>
      <c r="J19" s="58"/>
      <c r="K19" s="58"/>
    </row>
    <row r="20" ht="22.5" customHeight="1">
      <c r="A20" s="80">
        <f t="shared" si="2"/>
        <v>0</v>
      </c>
      <c r="B20" s="91" t="s">
        <v>86</v>
      </c>
      <c r="C20" s="90">
        <v>0.0</v>
      </c>
      <c r="D20" s="21">
        <v>0.0</v>
      </c>
      <c r="E20" s="34">
        <v>0.0</v>
      </c>
      <c r="H20" s="58"/>
      <c r="I20" s="58"/>
      <c r="J20" s="58"/>
      <c r="K20" s="58"/>
    </row>
    <row r="21" ht="22.5" customHeight="1">
      <c r="A21" s="80">
        <f t="shared" si="2"/>
        <v>0</v>
      </c>
      <c r="B21" s="91" t="s">
        <v>87</v>
      </c>
      <c r="C21" s="90">
        <v>0.0</v>
      </c>
      <c r="D21" s="21">
        <v>0.0</v>
      </c>
      <c r="E21" s="34">
        <v>0.0</v>
      </c>
      <c r="H21" s="58"/>
      <c r="I21" s="58"/>
      <c r="J21" s="58"/>
      <c r="K21" s="58"/>
    </row>
    <row r="22" ht="22.5" customHeight="1">
      <c r="A22" s="80">
        <f t="shared" si="2"/>
        <v>0</v>
      </c>
      <c r="B22" s="91" t="s">
        <v>41</v>
      </c>
      <c r="C22" s="90">
        <v>0.0</v>
      </c>
      <c r="D22" s="21">
        <v>0.0</v>
      </c>
      <c r="E22" s="24">
        <v>0.0</v>
      </c>
    </row>
    <row r="23" ht="22.5" customHeight="1">
      <c r="A23" s="88"/>
      <c r="B23" s="92"/>
      <c r="C23" s="90">
        <v>0.0</v>
      </c>
      <c r="D23" s="44">
        <v>0.0</v>
      </c>
      <c r="E23" s="34">
        <v>0.0</v>
      </c>
    </row>
    <row r="24" ht="22.5" customHeight="1">
      <c r="A24" s="80">
        <f t="shared" ref="A24:A28" si="3">SUM(C24:E24)</f>
        <v>0</v>
      </c>
      <c r="B24" s="93" t="s">
        <v>88</v>
      </c>
      <c r="C24" s="90">
        <v>0.0</v>
      </c>
      <c r="D24" s="44">
        <v>0.0</v>
      </c>
      <c r="E24" s="24">
        <v>0.0</v>
      </c>
    </row>
    <row r="25" ht="22.5" customHeight="1">
      <c r="A25" s="80">
        <f t="shared" si="3"/>
        <v>0</v>
      </c>
      <c r="B25" s="94" t="s">
        <v>89</v>
      </c>
      <c r="C25" s="81">
        <v>0.0</v>
      </c>
      <c r="D25" s="21">
        <v>0.0</v>
      </c>
      <c r="E25" s="34">
        <v>0.0</v>
      </c>
    </row>
    <row r="26" ht="22.5" customHeight="1">
      <c r="A26" s="80">
        <f t="shared" si="3"/>
        <v>0</v>
      </c>
      <c r="B26" s="94" t="s">
        <v>90</v>
      </c>
      <c r="C26" s="81">
        <v>0.0</v>
      </c>
      <c r="D26" s="21">
        <v>0.0</v>
      </c>
      <c r="E26" s="34">
        <v>0.0</v>
      </c>
    </row>
    <row r="27" ht="22.5" customHeight="1">
      <c r="A27" s="80">
        <f t="shared" si="3"/>
        <v>0</v>
      </c>
      <c r="B27" s="94" t="s">
        <v>36</v>
      </c>
      <c r="C27" s="90">
        <v>0.0</v>
      </c>
      <c r="D27" s="44">
        <v>0.0</v>
      </c>
      <c r="E27" s="24">
        <v>0.0</v>
      </c>
    </row>
    <row r="28" ht="22.5" customHeight="1">
      <c r="A28" s="80">
        <f t="shared" si="3"/>
        <v>0</v>
      </c>
      <c r="B28" s="94" t="s">
        <v>91</v>
      </c>
      <c r="C28" s="81">
        <v>0.0</v>
      </c>
      <c r="D28" s="21">
        <v>0.0</v>
      </c>
      <c r="E28" s="34">
        <v>0.0</v>
      </c>
    </row>
    <row r="29" ht="22.5" customHeight="1">
      <c r="A29" s="88"/>
      <c r="B29" s="92"/>
      <c r="C29" s="90">
        <v>0.0</v>
      </c>
      <c r="D29" s="44">
        <v>0.0</v>
      </c>
      <c r="E29" s="34">
        <v>0.0</v>
      </c>
    </row>
    <row r="30" ht="22.5" customHeight="1">
      <c r="A30" s="80">
        <f t="shared" ref="A30:A43" si="4">SUM(C30:E30)</f>
        <v>0</v>
      </c>
      <c r="B30" s="95" t="s">
        <v>92</v>
      </c>
      <c r="C30" s="90">
        <v>0.0</v>
      </c>
      <c r="D30" s="44">
        <v>0.0</v>
      </c>
      <c r="E30" s="24">
        <v>0.0</v>
      </c>
    </row>
    <row r="31" ht="22.5" customHeight="1">
      <c r="A31" s="80">
        <f t="shared" si="4"/>
        <v>0</v>
      </c>
      <c r="B31" s="95" t="s">
        <v>93</v>
      </c>
      <c r="C31" s="90">
        <v>0.0</v>
      </c>
      <c r="D31" s="44">
        <v>0.0</v>
      </c>
      <c r="E31" s="24">
        <v>0.0</v>
      </c>
    </row>
    <row r="32" ht="22.5" customHeight="1">
      <c r="A32" s="80">
        <f t="shared" si="4"/>
        <v>0</v>
      </c>
      <c r="B32" s="95" t="s">
        <v>94</v>
      </c>
      <c r="C32" s="90">
        <v>0.0</v>
      </c>
      <c r="D32" s="44">
        <v>0.0</v>
      </c>
      <c r="E32" s="24">
        <v>0.0</v>
      </c>
    </row>
    <row r="33" ht="22.5" customHeight="1">
      <c r="A33" s="80">
        <f t="shared" si="4"/>
        <v>0</v>
      </c>
      <c r="B33" s="95" t="s">
        <v>95</v>
      </c>
      <c r="C33" s="90">
        <v>0.0</v>
      </c>
      <c r="D33" s="44">
        <v>0.0</v>
      </c>
      <c r="E33" s="24">
        <v>0.0</v>
      </c>
    </row>
    <row r="34" ht="22.5" customHeight="1">
      <c r="A34" s="80">
        <f t="shared" si="4"/>
        <v>0</v>
      </c>
      <c r="B34" s="95" t="s">
        <v>96</v>
      </c>
      <c r="C34" s="90">
        <v>0.0</v>
      </c>
      <c r="D34" s="44">
        <v>0.0</v>
      </c>
      <c r="E34" s="24">
        <v>0.0</v>
      </c>
    </row>
    <row r="35" ht="22.5" customHeight="1">
      <c r="A35" s="80">
        <f t="shared" si="4"/>
        <v>0</v>
      </c>
      <c r="B35" s="95" t="s">
        <v>97</v>
      </c>
      <c r="C35" s="90">
        <v>0.0</v>
      </c>
      <c r="D35" s="44">
        <v>0.0</v>
      </c>
      <c r="E35" s="24">
        <v>0.0</v>
      </c>
    </row>
    <row r="36" ht="22.5" customHeight="1">
      <c r="A36" s="80">
        <f t="shared" si="4"/>
        <v>0</v>
      </c>
      <c r="B36" s="95" t="s">
        <v>98</v>
      </c>
      <c r="C36" s="90">
        <v>0.0</v>
      </c>
      <c r="D36" s="44">
        <v>0.0</v>
      </c>
      <c r="E36" s="24">
        <v>0.0</v>
      </c>
    </row>
    <row r="37" ht="22.5" customHeight="1">
      <c r="A37" s="80">
        <f t="shared" si="4"/>
        <v>0</v>
      </c>
      <c r="B37" s="96" t="s">
        <v>99</v>
      </c>
      <c r="C37" s="90">
        <v>0.0</v>
      </c>
      <c r="D37" s="44">
        <v>0.0</v>
      </c>
      <c r="E37" s="24">
        <v>0.0</v>
      </c>
    </row>
    <row r="38" ht="22.5" customHeight="1">
      <c r="A38" s="80">
        <f t="shared" si="4"/>
        <v>0</v>
      </c>
      <c r="B38" s="96" t="s">
        <v>100</v>
      </c>
      <c r="C38" s="90">
        <v>0.0</v>
      </c>
      <c r="D38" s="44">
        <v>0.0</v>
      </c>
      <c r="E38" s="24">
        <v>0.0</v>
      </c>
    </row>
    <row r="39" ht="22.5" customHeight="1">
      <c r="A39" s="80">
        <f t="shared" si="4"/>
        <v>0</v>
      </c>
      <c r="B39" s="96" t="s">
        <v>101</v>
      </c>
      <c r="C39" s="90">
        <v>0.0</v>
      </c>
      <c r="D39" s="44">
        <v>0.0</v>
      </c>
      <c r="E39" s="24">
        <v>0.0</v>
      </c>
    </row>
    <row r="40" ht="22.5" customHeight="1">
      <c r="A40" s="80">
        <f t="shared" si="4"/>
        <v>0</v>
      </c>
      <c r="B40" s="96" t="s">
        <v>102</v>
      </c>
      <c r="C40" s="90">
        <v>0.0</v>
      </c>
      <c r="D40" s="44">
        <v>0.0</v>
      </c>
      <c r="E40" s="24">
        <v>0.0</v>
      </c>
    </row>
    <row r="41" ht="22.5" customHeight="1">
      <c r="A41" s="80">
        <f t="shared" si="4"/>
        <v>0</v>
      </c>
      <c r="B41" s="96" t="s">
        <v>103</v>
      </c>
      <c r="C41" s="90">
        <v>0.0</v>
      </c>
      <c r="D41" s="44">
        <v>0.0</v>
      </c>
      <c r="E41" s="24">
        <v>0.0</v>
      </c>
    </row>
    <row r="42" ht="22.5" customHeight="1">
      <c r="A42" s="80">
        <f t="shared" si="4"/>
        <v>0</v>
      </c>
      <c r="B42" s="96" t="s">
        <v>104</v>
      </c>
      <c r="C42" s="90">
        <v>0.0</v>
      </c>
      <c r="D42" s="44">
        <v>0.0</v>
      </c>
      <c r="E42" s="24">
        <v>0.0</v>
      </c>
    </row>
    <row r="43" ht="22.5" customHeight="1">
      <c r="A43" s="97">
        <f t="shared" si="4"/>
        <v>0</v>
      </c>
      <c r="B43" s="96" t="s">
        <v>105</v>
      </c>
      <c r="C43" s="98">
        <v>0.0</v>
      </c>
      <c r="D43" s="99">
        <v>0.0</v>
      </c>
      <c r="E43" s="100">
        <v>0.0</v>
      </c>
    </row>
  </sheetData>
  <mergeCells count="5">
    <mergeCell ref="C2:D2"/>
    <mergeCell ref="G4:H4"/>
    <mergeCell ref="G5:H5"/>
    <mergeCell ref="G7:H7"/>
    <mergeCell ref="G10:H10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23.25"/>
    <col customWidth="1" min="5" max="5" width="18.38"/>
    <col customWidth="1" min="6" max="6" width="27.75"/>
    <col customWidth="1" min="9" max="9" width="16.88"/>
    <col customWidth="1" min="10" max="10" width="23.0"/>
  </cols>
  <sheetData>
    <row r="3">
      <c r="C3" s="101" t="s">
        <v>88</v>
      </c>
      <c r="E3" s="102" t="s">
        <v>106</v>
      </c>
      <c r="G3" s="57"/>
      <c r="H3" s="103"/>
      <c r="I3" s="104" t="s">
        <v>107</v>
      </c>
      <c r="J3" s="103"/>
    </row>
    <row r="4" ht="22.5" customHeight="1">
      <c r="B4" s="105" t="s">
        <v>7</v>
      </c>
      <c r="C4" s="105" t="s">
        <v>88</v>
      </c>
      <c r="H4" s="106"/>
      <c r="I4" s="106"/>
      <c r="J4" s="59"/>
    </row>
    <row r="5" ht="22.5" customHeight="1">
      <c r="B5" s="107" t="s">
        <v>108</v>
      </c>
      <c r="C5" s="108">
        <f t="array" ref="C5:C13">Feuille1!C98:C106*$G$3</f>
        <v>0</v>
      </c>
      <c r="E5" s="109" t="s">
        <v>109</v>
      </c>
      <c r="G5" s="57">
        <f>SUM(C5/20)</f>
        <v>0</v>
      </c>
      <c r="H5" s="59"/>
    </row>
    <row r="6" ht="22.5" customHeight="1">
      <c r="B6" s="107" t="s">
        <v>110</v>
      </c>
      <c r="C6" s="110">
        <v>0.0</v>
      </c>
      <c r="E6" s="111"/>
      <c r="F6" s="112"/>
      <c r="G6" s="60"/>
      <c r="H6" s="59"/>
    </row>
    <row r="7" ht="22.5" customHeight="1">
      <c r="B7" s="107" t="s">
        <v>111</v>
      </c>
      <c r="C7" s="110">
        <v>0.0</v>
      </c>
      <c r="E7" s="56"/>
      <c r="F7" s="60"/>
      <c r="H7" s="59"/>
      <c r="I7" s="113"/>
      <c r="J7" s="113"/>
    </row>
    <row r="8" ht="22.5" customHeight="1">
      <c r="B8" s="107" t="s">
        <v>112</v>
      </c>
      <c r="C8" s="110">
        <v>0.0</v>
      </c>
      <c r="E8" s="56"/>
      <c r="F8" s="60"/>
      <c r="G8" s="60"/>
      <c r="H8" s="59"/>
      <c r="I8" s="111"/>
      <c r="J8" s="112"/>
    </row>
    <row r="9" ht="22.5" customHeight="1">
      <c r="B9" s="107" t="s">
        <v>113</v>
      </c>
      <c r="C9" s="110">
        <v>0.0</v>
      </c>
      <c r="F9" s="106"/>
      <c r="G9" s="59"/>
      <c r="H9" s="59"/>
      <c r="I9" s="59"/>
      <c r="J9" s="59"/>
    </row>
    <row r="10" ht="22.5" customHeight="1">
      <c r="B10" s="107" t="s">
        <v>114</v>
      </c>
      <c r="C10" s="110">
        <v>0.0</v>
      </c>
      <c r="F10" s="60"/>
      <c r="H10" s="59"/>
      <c r="I10" s="59"/>
      <c r="J10" s="59"/>
    </row>
    <row r="11" ht="22.5" customHeight="1">
      <c r="B11" s="107" t="s">
        <v>115</v>
      </c>
      <c r="C11" s="110">
        <v>0.0</v>
      </c>
      <c r="F11" s="60"/>
      <c r="G11" s="60"/>
      <c r="H11" s="59"/>
      <c r="I11" s="59"/>
      <c r="J11" s="59"/>
    </row>
    <row r="12" ht="22.5" customHeight="1">
      <c r="B12" s="107" t="s">
        <v>116</v>
      </c>
      <c r="C12" s="110">
        <v>0.0</v>
      </c>
      <c r="F12" s="106"/>
      <c r="G12" s="106"/>
      <c r="H12" s="103"/>
      <c r="I12" s="103"/>
      <c r="J12" s="103"/>
    </row>
    <row r="13" ht="22.5" customHeight="1">
      <c r="B13" s="107" t="s">
        <v>117</v>
      </c>
      <c r="C13" s="114">
        <v>0.0</v>
      </c>
      <c r="F13" s="106"/>
      <c r="G13" s="106"/>
      <c r="H13" s="103"/>
      <c r="I13" s="103"/>
      <c r="J13" s="103"/>
    </row>
    <row r="14">
      <c r="F14" s="106"/>
      <c r="G14" s="106"/>
      <c r="H14" s="103"/>
      <c r="I14" s="103"/>
      <c r="J14" s="103"/>
    </row>
    <row r="15">
      <c r="C15" s="57" t="s">
        <v>118</v>
      </c>
      <c r="F15" s="58"/>
      <c r="G15" s="58"/>
    </row>
    <row r="16" ht="22.5" customHeight="1">
      <c r="A16" s="115" t="s">
        <v>6</v>
      </c>
      <c r="B16" s="105" t="s">
        <v>119</v>
      </c>
      <c r="C16" s="105" t="s">
        <v>120</v>
      </c>
    </row>
    <row r="17" ht="22.5" customHeight="1">
      <c r="A17" s="116">
        <f t="shared" ref="A17:A22" si="1">SUM(C17)</f>
        <v>0</v>
      </c>
      <c r="B17" s="107" t="s">
        <v>90</v>
      </c>
      <c r="C17" s="110">
        <f t="array" ref="C17:C22">Feuille1!F98:F103*$C$23</f>
        <v>0</v>
      </c>
    </row>
    <row r="18" ht="22.5" customHeight="1">
      <c r="A18" s="116">
        <f t="shared" si="1"/>
        <v>0</v>
      </c>
      <c r="B18" s="107" t="s">
        <v>53</v>
      </c>
      <c r="C18" s="110">
        <v>0.0</v>
      </c>
    </row>
    <row r="19" ht="22.5" customHeight="1">
      <c r="A19" s="116">
        <f t="shared" si="1"/>
        <v>0</v>
      </c>
      <c r="B19" s="107" t="s">
        <v>36</v>
      </c>
      <c r="C19" s="110">
        <v>0.0</v>
      </c>
    </row>
    <row r="20" ht="22.5" customHeight="1">
      <c r="A20" s="116">
        <f t="shared" si="1"/>
        <v>0</v>
      </c>
      <c r="B20" s="107" t="s">
        <v>35</v>
      </c>
      <c r="C20" s="110">
        <v>0.0</v>
      </c>
    </row>
    <row r="21" ht="22.5" customHeight="1">
      <c r="A21" s="116">
        <f t="shared" si="1"/>
        <v>0</v>
      </c>
      <c r="B21" s="107" t="s">
        <v>52</v>
      </c>
      <c r="C21" s="110">
        <v>0.0</v>
      </c>
    </row>
    <row r="22" ht="22.5" customHeight="1">
      <c r="A22" s="117">
        <f t="shared" si="1"/>
        <v>0</v>
      </c>
      <c r="B22" s="107" t="s">
        <v>121</v>
      </c>
      <c r="C22" s="118">
        <v>0.0</v>
      </c>
    </row>
    <row r="23" ht="22.5" customHeight="1">
      <c r="B23" s="119" t="s">
        <v>72</v>
      </c>
      <c r="C23" s="119">
        <v>0.0</v>
      </c>
    </row>
  </sheetData>
  <mergeCells count="4">
    <mergeCell ref="E3:F3"/>
    <mergeCell ref="E5:F5"/>
    <mergeCell ref="F7:G7"/>
    <mergeCell ref="F10:G10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38"/>
    <col customWidth="1" min="3" max="3" width="22.0"/>
    <col customWidth="1" min="4" max="4" width="19.38"/>
    <col customWidth="1" min="5" max="5" width="25.13"/>
    <col customWidth="1" min="6" max="6" width="22.63"/>
    <col customWidth="1" min="7" max="7" width="19.88"/>
    <col customWidth="1" min="8" max="8" width="14.5"/>
    <col customWidth="1" min="10" max="10" width="17.0"/>
    <col customWidth="1" min="11" max="11" width="19.0"/>
    <col customWidth="1" min="12" max="12" width="16.13"/>
    <col customWidth="1" min="13" max="13" width="14.88"/>
    <col customWidth="1" min="14" max="14" width="17.13"/>
    <col customWidth="1" min="15" max="15" width="18.5"/>
  </cols>
  <sheetData>
    <row r="5">
      <c r="C5" s="7" t="s">
        <v>0</v>
      </c>
      <c r="D5" s="2"/>
      <c r="E5" s="3" t="s">
        <v>1</v>
      </c>
      <c r="F5" s="4"/>
      <c r="G5" s="4"/>
      <c r="H5" s="5" t="s">
        <v>2</v>
      </c>
      <c r="I5" s="2"/>
      <c r="J5" s="6" t="s">
        <v>3</v>
      </c>
      <c r="K5" s="4"/>
      <c r="L5" s="4"/>
      <c r="M5" s="2"/>
      <c r="N5" s="7" t="s">
        <v>4</v>
      </c>
      <c r="O5" s="2"/>
      <c r="P5" s="8" t="s">
        <v>5</v>
      </c>
      <c r="Q5" s="4"/>
      <c r="R5" s="4"/>
      <c r="S5" s="4"/>
      <c r="T5" s="2"/>
    </row>
    <row r="6">
      <c r="B6" s="9"/>
      <c r="C6" s="10"/>
      <c r="D6" s="11"/>
      <c r="E6" s="12"/>
      <c r="H6" s="10"/>
      <c r="I6" s="11"/>
      <c r="J6" s="10"/>
      <c r="K6" s="13"/>
      <c r="L6" s="13"/>
      <c r="M6" s="11"/>
      <c r="N6" s="10"/>
      <c r="O6" s="11"/>
      <c r="P6" s="10"/>
      <c r="Q6" s="13"/>
      <c r="R6" s="13"/>
      <c r="S6" s="13"/>
      <c r="T6" s="11"/>
    </row>
    <row r="7" ht="22.5" customHeight="1">
      <c r="B7" s="15" t="s">
        <v>7</v>
      </c>
      <c r="C7" s="15" t="s">
        <v>8</v>
      </c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5" t="s">
        <v>22</v>
      </c>
      <c r="R7" s="15" t="s">
        <v>23</v>
      </c>
      <c r="S7" s="15" t="s">
        <v>24</v>
      </c>
      <c r="T7" s="15" t="s">
        <v>25</v>
      </c>
    </row>
    <row r="8" ht="22.5" customHeight="1">
      <c r="B8" s="17" t="s">
        <v>26</v>
      </c>
      <c r="C8" s="28">
        <v>2.0</v>
      </c>
      <c r="D8" s="120">
        <v>2.0</v>
      </c>
      <c r="E8" s="21">
        <v>4.0</v>
      </c>
      <c r="F8" s="21">
        <v>3.0</v>
      </c>
      <c r="G8" s="21">
        <v>3.0</v>
      </c>
      <c r="H8" s="23">
        <v>3.0</v>
      </c>
      <c r="I8" s="24">
        <v>3.0</v>
      </c>
      <c r="J8" s="25">
        <v>3.0</v>
      </c>
      <c r="K8" s="26">
        <v>3.0</v>
      </c>
      <c r="L8" s="26">
        <v>3.0</v>
      </c>
      <c r="M8" s="27">
        <v>3.0</v>
      </c>
      <c r="N8" s="28">
        <v>5.0</v>
      </c>
      <c r="O8" s="29">
        <v>5.0</v>
      </c>
      <c r="P8" s="30">
        <v>3.0</v>
      </c>
      <c r="Q8" s="31">
        <v>5.0</v>
      </c>
      <c r="R8" s="31">
        <v>5.0</v>
      </c>
      <c r="S8" s="31">
        <v>5.0</v>
      </c>
      <c r="T8" s="31">
        <v>3.0</v>
      </c>
    </row>
    <row r="9" ht="22.5" customHeight="1">
      <c r="B9" s="17" t="s">
        <v>27</v>
      </c>
      <c r="C9" s="28"/>
      <c r="D9" s="120"/>
      <c r="E9" s="21">
        <v>1.0</v>
      </c>
      <c r="F9" s="21">
        <v>1.0</v>
      </c>
      <c r="G9" s="21">
        <v>1.0</v>
      </c>
      <c r="H9" s="33"/>
      <c r="I9" s="34"/>
      <c r="J9" s="35"/>
      <c r="K9" s="36"/>
      <c r="L9" s="36"/>
      <c r="M9" s="37"/>
      <c r="N9" s="28">
        <v>1.0</v>
      </c>
      <c r="O9" s="29">
        <v>1.0</v>
      </c>
      <c r="P9" s="30">
        <v>1.0</v>
      </c>
      <c r="Q9" s="31">
        <v>1.0</v>
      </c>
      <c r="R9" s="31">
        <v>1.0</v>
      </c>
      <c r="S9" s="31">
        <v>1.0</v>
      </c>
      <c r="T9" s="31">
        <v>1.0</v>
      </c>
    </row>
    <row r="10" ht="22.5" customHeight="1">
      <c r="B10" s="17" t="s">
        <v>28</v>
      </c>
      <c r="C10" s="28"/>
      <c r="D10" s="120"/>
      <c r="E10" s="21">
        <v>1.0</v>
      </c>
      <c r="F10" s="21">
        <v>1.0</v>
      </c>
      <c r="G10" s="21">
        <v>1.0</v>
      </c>
      <c r="H10" s="33"/>
      <c r="I10" s="34"/>
      <c r="J10" s="35"/>
      <c r="K10" s="36"/>
      <c r="L10" s="36"/>
      <c r="M10" s="37"/>
      <c r="N10" s="28">
        <v>1.0</v>
      </c>
      <c r="O10" s="29">
        <v>1.0</v>
      </c>
      <c r="P10" s="30">
        <v>1.0</v>
      </c>
      <c r="Q10" s="31">
        <v>1.0</v>
      </c>
      <c r="R10" s="31">
        <v>1.0</v>
      </c>
      <c r="S10" s="31">
        <v>1.0</v>
      </c>
      <c r="T10" s="31">
        <v>1.0</v>
      </c>
    </row>
    <row r="11" ht="22.5" customHeight="1">
      <c r="B11" s="17" t="s">
        <v>29</v>
      </c>
      <c r="C11" s="28">
        <v>1.0</v>
      </c>
      <c r="D11" s="120">
        <v>1.0</v>
      </c>
      <c r="E11" s="21">
        <v>3.0</v>
      </c>
      <c r="F11" s="21">
        <v>1.0</v>
      </c>
      <c r="G11" s="21">
        <v>1.0</v>
      </c>
      <c r="H11" s="23">
        <v>2.0</v>
      </c>
      <c r="I11" s="24">
        <v>3.0</v>
      </c>
      <c r="J11" s="25">
        <v>2.0</v>
      </c>
      <c r="K11" s="26">
        <v>2.0</v>
      </c>
      <c r="L11" s="26">
        <v>2.0</v>
      </c>
      <c r="M11" s="27">
        <v>2.0</v>
      </c>
      <c r="N11" s="28">
        <v>3.0</v>
      </c>
      <c r="O11" s="29">
        <v>3.0</v>
      </c>
      <c r="P11" s="30">
        <v>5.0</v>
      </c>
      <c r="Q11" s="31">
        <v>6.0</v>
      </c>
      <c r="R11" s="31">
        <v>6.0</v>
      </c>
      <c r="S11" s="31">
        <v>6.0</v>
      </c>
      <c r="T11" s="31">
        <v>3.0</v>
      </c>
    </row>
    <row r="12" ht="22.5" customHeight="1">
      <c r="B12" s="17" t="s">
        <v>30</v>
      </c>
      <c r="C12" s="28">
        <v>10.0</v>
      </c>
      <c r="D12" s="120">
        <v>10.0</v>
      </c>
      <c r="E12" s="21">
        <v>10.0</v>
      </c>
      <c r="F12" s="21">
        <v>10.0</v>
      </c>
      <c r="G12" s="21">
        <v>10.0</v>
      </c>
      <c r="H12" s="33"/>
      <c r="I12" s="34"/>
      <c r="J12" s="35"/>
      <c r="K12" s="36"/>
      <c r="L12" s="26">
        <v>10.0</v>
      </c>
      <c r="M12" s="27">
        <v>10.0</v>
      </c>
      <c r="N12" s="38"/>
      <c r="O12" s="39"/>
      <c r="P12" s="40"/>
      <c r="Q12" s="41"/>
      <c r="R12" s="41"/>
      <c r="S12" s="41"/>
      <c r="T12" s="41"/>
    </row>
    <row r="13" ht="22.5" customHeight="1">
      <c r="B13" s="17" t="s">
        <v>31</v>
      </c>
      <c r="C13" s="28">
        <v>12.0</v>
      </c>
      <c r="D13" s="120"/>
      <c r="E13" s="21">
        <v>24.0</v>
      </c>
      <c r="F13" s="21">
        <v>10.0</v>
      </c>
      <c r="G13" s="21">
        <v>10.0</v>
      </c>
      <c r="H13" s="23">
        <v>10.0</v>
      </c>
      <c r="I13" s="24">
        <v>15.0</v>
      </c>
      <c r="J13" s="25">
        <v>10.0</v>
      </c>
      <c r="K13" s="26">
        <v>10.0</v>
      </c>
      <c r="L13" s="26">
        <v>15.0</v>
      </c>
      <c r="M13" s="27">
        <v>15.0</v>
      </c>
      <c r="N13" s="28">
        <v>40.0</v>
      </c>
      <c r="O13" s="29">
        <v>40.0</v>
      </c>
      <c r="P13" s="30">
        <v>35.0</v>
      </c>
      <c r="Q13" s="31">
        <v>40.0</v>
      </c>
      <c r="R13" s="31">
        <v>40.0</v>
      </c>
      <c r="S13" s="31">
        <v>60.0</v>
      </c>
      <c r="T13" s="31">
        <v>40.0</v>
      </c>
    </row>
    <row r="14" ht="22.5" customHeight="1">
      <c r="B14" s="17" t="s">
        <v>32</v>
      </c>
      <c r="C14" s="28"/>
      <c r="D14" s="120">
        <v>12.0</v>
      </c>
      <c r="E14" s="21">
        <v>24.0</v>
      </c>
      <c r="F14" s="21">
        <v>10.0</v>
      </c>
      <c r="G14" s="21">
        <v>10.0</v>
      </c>
      <c r="H14" s="23">
        <v>10.0</v>
      </c>
      <c r="I14" s="24">
        <v>15.0</v>
      </c>
      <c r="J14" s="25">
        <v>10.0</v>
      </c>
      <c r="K14" s="26">
        <v>10.0</v>
      </c>
      <c r="L14" s="26">
        <v>15.0</v>
      </c>
      <c r="M14" s="27">
        <v>15.0</v>
      </c>
      <c r="N14" s="28">
        <v>40.0</v>
      </c>
      <c r="O14" s="29">
        <v>40.0</v>
      </c>
      <c r="P14" s="30">
        <v>35.0</v>
      </c>
      <c r="Q14" s="31">
        <v>40.0</v>
      </c>
      <c r="R14" s="31">
        <v>40.0</v>
      </c>
      <c r="S14" s="31">
        <v>60.0</v>
      </c>
      <c r="T14" s="31">
        <v>40.0</v>
      </c>
    </row>
    <row r="15" ht="22.5" customHeight="1">
      <c r="B15" s="17" t="s">
        <v>33</v>
      </c>
      <c r="C15" s="28">
        <v>500.0</v>
      </c>
      <c r="D15" s="120"/>
      <c r="E15" s="21">
        <v>3000.0</v>
      </c>
      <c r="F15" s="21">
        <v>1000.0</v>
      </c>
      <c r="G15" s="21">
        <v>1000.0</v>
      </c>
      <c r="H15" s="23">
        <v>1000.0</v>
      </c>
      <c r="I15" s="24">
        <v>2000.0</v>
      </c>
      <c r="J15" s="25">
        <v>1000.0</v>
      </c>
      <c r="K15" s="26">
        <v>1000.0</v>
      </c>
      <c r="L15" s="26">
        <v>1000.0</v>
      </c>
      <c r="M15" s="27">
        <v>1000.0</v>
      </c>
      <c r="N15" s="38"/>
      <c r="O15" s="39"/>
      <c r="P15" s="40"/>
      <c r="Q15" s="41"/>
      <c r="R15" s="41"/>
      <c r="S15" s="41"/>
      <c r="T15" s="31">
        <v>5000.0</v>
      </c>
    </row>
    <row r="16" ht="22.5" customHeight="1">
      <c r="B16" s="17" t="s">
        <v>34</v>
      </c>
      <c r="C16" s="28"/>
      <c r="D16" s="120">
        <v>500.0</v>
      </c>
      <c r="E16" s="21">
        <v>3000.0</v>
      </c>
      <c r="F16" s="21">
        <v>1000.0</v>
      </c>
      <c r="G16" s="21">
        <v>1000.0</v>
      </c>
      <c r="H16" s="23">
        <v>1000.0</v>
      </c>
      <c r="I16" s="24">
        <v>2000.0</v>
      </c>
      <c r="J16" s="25">
        <v>1000.0</v>
      </c>
      <c r="K16" s="26">
        <v>1000.0</v>
      </c>
      <c r="L16" s="26">
        <v>1000.0</v>
      </c>
      <c r="M16" s="27">
        <v>1000.0</v>
      </c>
      <c r="N16" s="38"/>
      <c r="O16" s="39"/>
      <c r="P16" s="40"/>
      <c r="Q16" s="41"/>
      <c r="R16" s="41"/>
      <c r="S16" s="41"/>
      <c r="T16" s="31">
        <v>5000.0</v>
      </c>
    </row>
    <row r="17" ht="22.5" customHeight="1">
      <c r="B17" s="17" t="s">
        <v>35</v>
      </c>
      <c r="C17" s="28">
        <v>20.0</v>
      </c>
      <c r="D17" s="120">
        <v>20.0</v>
      </c>
      <c r="E17" s="21">
        <v>30.0</v>
      </c>
      <c r="F17" s="21">
        <v>25.0</v>
      </c>
      <c r="G17" s="21">
        <v>25.0</v>
      </c>
      <c r="H17" s="23">
        <v>25.0</v>
      </c>
      <c r="I17" s="24">
        <v>30.0</v>
      </c>
      <c r="J17" s="25">
        <v>20.0</v>
      </c>
      <c r="K17" s="26">
        <v>20.0</v>
      </c>
      <c r="L17" s="26">
        <v>30.0</v>
      </c>
      <c r="M17" s="27">
        <v>30.0</v>
      </c>
      <c r="N17" s="28">
        <v>60.0</v>
      </c>
      <c r="O17" s="29">
        <v>60.0</v>
      </c>
      <c r="P17" s="40"/>
      <c r="Q17" s="41"/>
      <c r="R17" s="41"/>
      <c r="S17" s="41"/>
      <c r="T17" s="31">
        <v>60.0</v>
      </c>
    </row>
    <row r="18" ht="22.5" customHeight="1">
      <c r="B18" s="17" t="s">
        <v>36</v>
      </c>
      <c r="C18" s="28">
        <v>50.0</v>
      </c>
      <c r="D18" s="120">
        <v>50.0</v>
      </c>
      <c r="E18" s="21">
        <v>1000.0</v>
      </c>
      <c r="F18" s="21">
        <v>100.0</v>
      </c>
      <c r="G18" s="21">
        <v>100.0</v>
      </c>
      <c r="H18" s="33"/>
      <c r="I18" s="34"/>
      <c r="J18" s="35"/>
      <c r="K18" s="36"/>
      <c r="L18" s="36"/>
      <c r="M18" s="37"/>
      <c r="N18" s="38"/>
      <c r="O18" s="39"/>
      <c r="P18" s="40"/>
      <c r="Q18" s="41"/>
      <c r="R18" s="41"/>
      <c r="S18" s="41"/>
      <c r="T18" s="41"/>
    </row>
    <row r="19" ht="22.5" customHeight="1">
      <c r="B19" s="17" t="s">
        <v>37</v>
      </c>
      <c r="C19" s="28">
        <v>500.0</v>
      </c>
      <c r="D19" s="120">
        <v>500.0</v>
      </c>
      <c r="E19" s="21">
        <v>1500.0</v>
      </c>
      <c r="F19" s="21">
        <v>1000.0</v>
      </c>
      <c r="G19" s="21">
        <v>1000.0</v>
      </c>
      <c r="H19" s="23">
        <v>1000.0</v>
      </c>
      <c r="I19" s="24">
        <v>1500.0</v>
      </c>
      <c r="J19" s="25">
        <v>800.0</v>
      </c>
      <c r="K19" s="26">
        <v>800.0</v>
      </c>
      <c r="L19" s="26">
        <v>1000.0</v>
      </c>
      <c r="M19" s="27">
        <v>1000.0</v>
      </c>
      <c r="N19" s="28">
        <v>2000.0</v>
      </c>
      <c r="O19" s="29">
        <v>2000.0</v>
      </c>
      <c r="P19" s="30">
        <v>1000.0</v>
      </c>
      <c r="Q19" s="31">
        <v>1500.0</v>
      </c>
      <c r="R19" s="31">
        <v>1500.0</v>
      </c>
      <c r="S19" s="31">
        <v>1500.0</v>
      </c>
      <c r="T19" s="31">
        <v>2000.0</v>
      </c>
    </row>
    <row r="20" ht="22.5" customHeight="1">
      <c r="B20" s="17" t="s">
        <v>38</v>
      </c>
      <c r="C20" s="28">
        <v>1.0</v>
      </c>
      <c r="D20" s="121"/>
      <c r="E20" s="44"/>
      <c r="F20" s="44"/>
      <c r="G20" s="44"/>
      <c r="H20" s="33"/>
      <c r="I20" s="34"/>
      <c r="J20" s="35"/>
      <c r="K20" s="36"/>
      <c r="L20" s="36"/>
      <c r="M20" s="37"/>
      <c r="N20" s="38"/>
      <c r="O20" s="39"/>
      <c r="P20" s="40"/>
      <c r="Q20" s="41"/>
      <c r="R20" s="41"/>
      <c r="S20" s="41"/>
      <c r="T20" s="41"/>
    </row>
    <row r="21" ht="22.5" customHeight="1">
      <c r="B21" s="17" t="s">
        <v>39</v>
      </c>
      <c r="C21" s="28"/>
      <c r="D21" s="120">
        <v>1.0</v>
      </c>
      <c r="E21" s="44"/>
      <c r="F21" s="44"/>
      <c r="G21" s="44"/>
      <c r="H21" s="33"/>
      <c r="I21" s="34"/>
      <c r="J21" s="35"/>
      <c r="K21" s="36"/>
      <c r="L21" s="36"/>
      <c r="M21" s="37"/>
      <c r="N21" s="38"/>
      <c r="O21" s="39"/>
      <c r="P21" s="40"/>
      <c r="Q21" s="41"/>
      <c r="R21" s="41"/>
      <c r="S21" s="41"/>
      <c r="T21" s="41"/>
    </row>
    <row r="22" ht="22.5" customHeight="1">
      <c r="B22" s="17" t="s">
        <v>40</v>
      </c>
      <c r="C22" s="28">
        <v>10.0</v>
      </c>
      <c r="D22" s="121"/>
      <c r="E22" s="44"/>
      <c r="F22" s="44"/>
      <c r="G22" s="44"/>
      <c r="H22" s="33"/>
      <c r="I22" s="34"/>
      <c r="J22" s="35"/>
      <c r="K22" s="36"/>
      <c r="L22" s="36"/>
      <c r="M22" s="37"/>
      <c r="N22" s="38"/>
      <c r="O22" s="39"/>
      <c r="P22" s="40"/>
      <c r="Q22" s="41"/>
      <c r="R22" s="41"/>
      <c r="S22" s="41"/>
      <c r="T22" s="41"/>
    </row>
    <row r="23" ht="22.5" customHeight="1">
      <c r="B23" s="17" t="s">
        <v>41</v>
      </c>
      <c r="C23" s="28"/>
      <c r="D23" s="120">
        <v>10.0</v>
      </c>
      <c r="E23" s="44"/>
      <c r="F23" s="44"/>
      <c r="G23" s="44"/>
      <c r="H23" s="33"/>
      <c r="I23" s="34"/>
      <c r="J23" s="35"/>
      <c r="K23" s="36"/>
      <c r="L23" s="36"/>
      <c r="M23" s="37"/>
      <c r="N23" s="38"/>
      <c r="O23" s="39"/>
      <c r="P23" s="40"/>
      <c r="Q23" s="41"/>
      <c r="R23" s="41"/>
      <c r="S23" s="41"/>
      <c r="T23" s="41"/>
    </row>
    <row r="24" ht="22.5" customHeight="1">
      <c r="B24" s="17"/>
      <c r="C24" s="28"/>
      <c r="D24" s="121"/>
      <c r="E24" s="44"/>
      <c r="F24" s="44"/>
      <c r="G24" s="44"/>
      <c r="H24" s="33"/>
      <c r="I24" s="34"/>
      <c r="J24" s="35"/>
      <c r="K24" s="36"/>
      <c r="L24" s="36"/>
      <c r="M24" s="37"/>
      <c r="N24" s="38"/>
      <c r="O24" s="39"/>
      <c r="P24" s="40"/>
      <c r="Q24" s="41"/>
      <c r="R24" s="41"/>
      <c r="S24" s="41"/>
      <c r="T24" s="41"/>
    </row>
    <row r="25" ht="22.5" customHeight="1">
      <c r="B25" s="49" t="s">
        <v>42</v>
      </c>
      <c r="C25" s="38"/>
      <c r="D25" s="121"/>
      <c r="E25" s="44"/>
      <c r="F25" s="44"/>
      <c r="G25" s="44"/>
      <c r="H25" s="23">
        <v>2.0</v>
      </c>
      <c r="I25" s="24">
        <v>2.0</v>
      </c>
      <c r="J25" s="35"/>
      <c r="K25" s="36"/>
      <c r="L25" s="36"/>
      <c r="M25" s="37"/>
      <c r="N25" s="38"/>
      <c r="O25" s="39"/>
      <c r="P25" s="40"/>
      <c r="Q25" s="41"/>
      <c r="R25" s="41"/>
      <c r="S25" s="41"/>
      <c r="T25" s="41"/>
    </row>
    <row r="26" ht="22.5" customHeight="1">
      <c r="B26" s="49" t="s">
        <v>43</v>
      </c>
      <c r="C26" s="38"/>
      <c r="D26" s="121"/>
      <c r="E26" s="44"/>
      <c r="F26" s="44"/>
      <c r="G26" s="44"/>
      <c r="H26" s="23">
        <v>2.0</v>
      </c>
      <c r="I26" s="24">
        <v>2.0</v>
      </c>
      <c r="J26" s="35"/>
      <c r="K26" s="36"/>
      <c r="L26" s="36"/>
      <c r="M26" s="37"/>
      <c r="N26" s="38"/>
      <c r="O26" s="39"/>
      <c r="P26" s="40"/>
      <c r="Q26" s="41"/>
      <c r="R26" s="41"/>
      <c r="S26" s="41"/>
      <c r="T26" s="41"/>
    </row>
    <row r="27" ht="22.5" customHeight="1">
      <c r="B27" s="49" t="s">
        <v>44</v>
      </c>
      <c r="C27" s="38"/>
      <c r="D27" s="121"/>
      <c r="E27" s="44"/>
      <c r="F27" s="44"/>
      <c r="G27" s="44"/>
      <c r="H27" s="33"/>
      <c r="I27" s="24">
        <v>500.0</v>
      </c>
      <c r="J27" s="35"/>
      <c r="K27" s="36"/>
      <c r="L27" s="36"/>
      <c r="M27" s="37"/>
      <c r="N27" s="38"/>
      <c r="O27" s="39"/>
      <c r="P27" s="40"/>
      <c r="Q27" s="41"/>
      <c r="R27" s="41"/>
      <c r="S27" s="41"/>
      <c r="T27" s="41"/>
    </row>
    <row r="28" ht="22.5" customHeight="1">
      <c r="B28" s="49" t="s">
        <v>45</v>
      </c>
      <c r="C28" s="38"/>
      <c r="D28" s="121"/>
      <c r="E28" s="44"/>
      <c r="F28" s="44"/>
      <c r="G28" s="44"/>
      <c r="H28" s="33"/>
      <c r="I28" s="34"/>
      <c r="J28" s="25">
        <v>5.0</v>
      </c>
      <c r="K28" s="26">
        <v>5.0</v>
      </c>
      <c r="L28" s="26">
        <v>6.0</v>
      </c>
      <c r="M28" s="27">
        <v>6.0</v>
      </c>
      <c r="N28" s="38"/>
      <c r="O28" s="39"/>
      <c r="P28" s="40"/>
      <c r="Q28" s="41"/>
      <c r="R28" s="41"/>
      <c r="S28" s="41"/>
      <c r="T28" s="41"/>
    </row>
    <row r="29" ht="22.5" customHeight="1">
      <c r="B29" s="49" t="s">
        <v>46</v>
      </c>
      <c r="C29" s="38"/>
      <c r="D29" s="121"/>
      <c r="E29" s="44"/>
      <c r="F29" s="44"/>
      <c r="G29" s="44"/>
      <c r="H29" s="33"/>
      <c r="I29" s="34"/>
      <c r="J29" s="25">
        <v>400.0</v>
      </c>
      <c r="K29" s="26">
        <v>400.0</v>
      </c>
      <c r="L29" s="26">
        <v>800.0</v>
      </c>
      <c r="M29" s="27">
        <v>800.0</v>
      </c>
      <c r="N29" s="38"/>
      <c r="O29" s="39"/>
      <c r="P29" s="30">
        <v>500.0</v>
      </c>
      <c r="Q29" s="31">
        <v>450.0</v>
      </c>
      <c r="R29" s="31">
        <v>450.0</v>
      </c>
      <c r="S29" s="31">
        <v>600.0</v>
      </c>
      <c r="T29" s="41"/>
    </row>
    <row r="30" ht="22.5" customHeight="1">
      <c r="B30" s="17"/>
      <c r="C30" s="38"/>
      <c r="D30" s="121"/>
      <c r="E30" s="44"/>
      <c r="F30" s="44"/>
      <c r="G30" s="44"/>
      <c r="H30" s="33"/>
      <c r="I30" s="34"/>
      <c r="J30" s="35"/>
      <c r="K30" s="36"/>
      <c r="L30" s="36"/>
      <c r="M30" s="37"/>
      <c r="N30" s="38"/>
      <c r="O30" s="39"/>
      <c r="P30" s="40"/>
      <c r="Q30" s="41"/>
      <c r="R30" s="41"/>
      <c r="S30" s="41"/>
      <c r="T30" s="41"/>
    </row>
    <row r="31" ht="22.5" customHeight="1">
      <c r="B31" s="50" t="s">
        <v>47</v>
      </c>
      <c r="C31" s="38"/>
      <c r="D31" s="121"/>
      <c r="E31" s="44"/>
      <c r="F31" s="44"/>
      <c r="G31" s="44"/>
      <c r="H31" s="33"/>
      <c r="I31" s="34"/>
      <c r="J31" s="35"/>
      <c r="K31" s="36"/>
      <c r="L31" s="36"/>
      <c r="M31" s="27">
        <v>5.0</v>
      </c>
      <c r="N31" s="28">
        <v>10.0</v>
      </c>
      <c r="O31" s="39"/>
      <c r="P31" s="40"/>
      <c r="Q31" s="41"/>
      <c r="R31" s="41"/>
      <c r="S31" s="41"/>
      <c r="T31" s="31">
        <v>8.0</v>
      </c>
    </row>
    <row r="32" ht="22.5" customHeight="1">
      <c r="B32" s="50" t="s">
        <v>48</v>
      </c>
      <c r="C32" s="38"/>
      <c r="D32" s="121"/>
      <c r="E32" s="44"/>
      <c r="F32" s="44"/>
      <c r="G32" s="44"/>
      <c r="H32" s="33"/>
      <c r="I32" s="34"/>
      <c r="J32" s="35"/>
      <c r="K32" s="36"/>
      <c r="L32" s="26">
        <v>5.0</v>
      </c>
      <c r="M32" s="27"/>
      <c r="N32" s="38"/>
      <c r="O32" s="29">
        <v>10.0</v>
      </c>
      <c r="P32" s="40"/>
      <c r="Q32" s="41"/>
      <c r="R32" s="41"/>
      <c r="S32" s="41"/>
      <c r="T32" s="31">
        <v>8.0</v>
      </c>
    </row>
    <row r="33" ht="22.5" customHeight="1">
      <c r="B33" s="50" t="s">
        <v>49</v>
      </c>
      <c r="C33" s="38"/>
      <c r="D33" s="121"/>
      <c r="E33" s="44"/>
      <c r="F33" s="44"/>
      <c r="G33" s="44"/>
      <c r="H33" s="33"/>
      <c r="I33" s="34"/>
      <c r="J33" s="35"/>
      <c r="K33" s="36"/>
      <c r="L33" s="26">
        <v>200.0</v>
      </c>
      <c r="M33" s="27"/>
      <c r="N33" s="38"/>
      <c r="O33" s="39"/>
      <c r="P33" s="40"/>
      <c r="Q33" s="41"/>
      <c r="R33" s="41"/>
      <c r="S33" s="41"/>
      <c r="T33" s="41"/>
    </row>
    <row r="34" ht="22.5" customHeight="1">
      <c r="B34" s="50" t="s">
        <v>50</v>
      </c>
      <c r="C34" s="38"/>
      <c r="D34" s="121"/>
      <c r="E34" s="44"/>
      <c r="F34" s="44"/>
      <c r="G34" s="44"/>
      <c r="H34" s="33"/>
      <c r="I34" s="34"/>
      <c r="J34" s="35"/>
      <c r="K34" s="36"/>
      <c r="L34" s="36"/>
      <c r="M34" s="27">
        <v>1000.0</v>
      </c>
      <c r="N34" s="38"/>
      <c r="O34" s="39"/>
      <c r="P34" s="40"/>
      <c r="Q34" s="41"/>
      <c r="R34" s="41"/>
      <c r="S34" s="41"/>
      <c r="T34" s="41"/>
    </row>
    <row r="35" ht="22.5" customHeight="1">
      <c r="B35" s="17"/>
      <c r="C35" s="28"/>
      <c r="D35" s="121"/>
      <c r="E35" s="44"/>
      <c r="F35" s="44"/>
      <c r="G35" s="44"/>
      <c r="H35" s="33"/>
      <c r="I35" s="34"/>
      <c r="J35" s="35"/>
      <c r="K35" s="36"/>
      <c r="L35" s="36"/>
      <c r="M35" s="37"/>
      <c r="N35" s="38"/>
      <c r="O35" s="39"/>
      <c r="P35" s="40"/>
      <c r="Q35" s="41"/>
      <c r="R35" s="41"/>
      <c r="S35" s="41"/>
      <c r="T35" s="41"/>
    </row>
    <row r="36" ht="22.5" customHeight="1">
      <c r="B36" s="53" t="s">
        <v>51</v>
      </c>
      <c r="C36" s="38"/>
      <c r="D36" s="121"/>
      <c r="E36" s="44"/>
      <c r="F36" s="44"/>
      <c r="G36" s="44"/>
      <c r="H36" s="33"/>
      <c r="I36" s="34"/>
      <c r="J36" s="35"/>
      <c r="K36" s="36"/>
      <c r="L36" s="36"/>
      <c r="M36" s="37"/>
      <c r="N36" s="28">
        <v>1.0</v>
      </c>
      <c r="O36" s="29">
        <v>1.0</v>
      </c>
      <c r="P36" s="40"/>
      <c r="Q36" s="41"/>
      <c r="R36" s="41"/>
      <c r="S36" s="41"/>
      <c r="T36" s="41"/>
    </row>
    <row r="37" ht="22.5" customHeight="1">
      <c r="B37" s="53" t="s">
        <v>52</v>
      </c>
      <c r="C37" s="38"/>
      <c r="D37" s="121"/>
      <c r="E37" s="44"/>
      <c r="F37" s="44"/>
      <c r="G37" s="44"/>
      <c r="H37" s="33"/>
      <c r="I37" s="34"/>
      <c r="J37" s="35"/>
      <c r="K37" s="36"/>
      <c r="L37" s="26">
        <v>1000.0</v>
      </c>
      <c r="M37" s="27">
        <v>1000.0</v>
      </c>
      <c r="N37" s="28">
        <v>2500.0</v>
      </c>
      <c r="O37" s="29">
        <v>2500.0</v>
      </c>
      <c r="P37" s="30">
        <v>2000.0</v>
      </c>
      <c r="Q37" s="31">
        <v>3000.0</v>
      </c>
      <c r="R37" s="31">
        <v>3000.0</v>
      </c>
      <c r="S37" s="31">
        <v>3000.0</v>
      </c>
      <c r="T37" s="41"/>
    </row>
    <row r="38" ht="22.5" customHeight="1">
      <c r="B38" s="53" t="s">
        <v>53</v>
      </c>
      <c r="C38" s="38"/>
      <c r="D38" s="121"/>
      <c r="E38" s="44"/>
      <c r="F38" s="44"/>
      <c r="G38" s="44"/>
      <c r="H38" s="33"/>
      <c r="I38" s="34"/>
      <c r="J38" s="35"/>
      <c r="K38" s="36"/>
      <c r="L38" s="36"/>
      <c r="M38" s="37"/>
      <c r="N38" s="28">
        <v>2000.0</v>
      </c>
      <c r="O38" s="29">
        <v>2000.0</v>
      </c>
      <c r="P38" s="40"/>
      <c r="Q38" s="41"/>
      <c r="R38" s="41"/>
      <c r="S38" s="41"/>
      <c r="T38" s="41"/>
    </row>
    <row r="39" ht="22.5" customHeight="1">
      <c r="B39" s="53" t="s">
        <v>54</v>
      </c>
      <c r="C39" s="38"/>
      <c r="D39" s="121"/>
      <c r="E39" s="44"/>
      <c r="F39" s="44"/>
      <c r="G39" s="44"/>
      <c r="H39" s="33"/>
      <c r="I39" s="34"/>
      <c r="J39" s="35"/>
      <c r="K39" s="36"/>
      <c r="L39" s="36"/>
      <c r="M39" s="37"/>
      <c r="N39" s="28">
        <v>5.0</v>
      </c>
      <c r="O39" s="29">
        <v>5.0</v>
      </c>
      <c r="P39" s="40"/>
      <c r="Q39" s="41"/>
      <c r="R39" s="41"/>
      <c r="S39" s="41"/>
      <c r="T39" s="41"/>
    </row>
    <row r="40" ht="22.5" customHeight="1">
      <c r="B40" s="53" t="s">
        <v>55</v>
      </c>
      <c r="C40" s="38"/>
      <c r="D40" s="121"/>
      <c r="E40" s="44"/>
      <c r="F40" s="44"/>
      <c r="G40" s="44"/>
      <c r="H40" s="33"/>
      <c r="I40" s="34"/>
      <c r="J40" s="35"/>
      <c r="K40" s="36"/>
      <c r="L40" s="36"/>
      <c r="M40" s="37"/>
      <c r="N40" s="28">
        <v>5.0</v>
      </c>
      <c r="O40" s="29">
        <v>5.0</v>
      </c>
      <c r="P40" s="40"/>
      <c r="Q40" s="41"/>
      <c r="R40" s="41"/>
      <c r="S40" s="41"/>
      <c r="T40" s="41"/>
    </row>
    <row r="41" ht="22.5" customHeight="1">
      <c r="B41" s="53" t="s">
        <v>56</v>
      </c>
      <c r="C41" s="38"/>
      <c r="D41" s="121"/>
      <c r="E41" s="44"/>
      <c r="F41" s="44"/>
      <c r="G41" s="44"/>
      <c r="H41" s="33"/>
      <c r="I41" s="34"/>
      <c r="J41" s="35"/>
      <c r="K41" s="36"/>
      <c r="L41" s="36"/>
      <c r="M41" s="37"/>
      <c r="N41" s="28">
        <v>5.0</v>
      </c>
      <c r="O41" s="29">
        <v>5.0</v>
      </c>
      <c r="P41" s="40"/>
      <c r="Q41" s="41"/>
      <c r="R41" s="41"/>
      <c r="S41" s="41"/>
      <c r="T41" s="41"/>
    </row>
    <row r="42" ht="22.5" customHeight="1">
      <c r="B42" s="53" t="s">
        <v>57</v>
      </c>
      <c r="C42" s="38"/>
      <c r="D42" s="121"/>
      <c r="E42" s="44"/>
      <c r="F42" s="44"/>
      <c r="G42" s="44"/>
      <c r="H42" s="33"/>
      <c r="I42" s="34"/>
      <c r="J42" s="35"/>
      <c r="K42" s="36"/>
      <c r="L42" s="36"/>
      <c r="M42" s="37"/>
      <c r="N42" s="28">
        <v>5.0</v>
      </c>
      <c r="O42" s="29">
        <v>5.0</v>
      </c>
      <c r="P42" s="40"/>
      <c r="Q42" s="41"/>
      <c r="R42" s="41"/>
      <c r="S42" s="41"/>
      <c r="T42" s="41"/>
    </row>
    <row r="43" ht="22.5" customHeight="1">
      <c r="B43" s="53" t="s">
        <v>58</v>
      </c>
      <c r="C43" s="38"/>
      <c r="D43" s="121"/>
      <c r="E43" s="44"/>
      <c r="F43" s="44"/>
      <c r="G43" s="44"/>
      <c r="H43" s="33"/>
      <c r="I43" s="34"/>
      <c r="J43" s="35"/>
      <c r="K43" s="36"/>
      <c r="L43" s="36"/>
      <c r="M43" s="37"/>
      <c r="N43" s="28">
        <v>1.0</v>
      </c>
      <c r="O43" s="29">
        <v>1.0</v>
      </c>
      <c r="P43" s="40"/>
      <c r="Q43" s="41"/>
      <c r="R43" s="41"/>
      <c r="S43" s="41"/>
      <c r="T43" s="31">
        <v>1.0</v>
      </c>
    </row>
    <row r="44" ht="22.5" customHeight="1">
      <c r="B44" s="53" t="s">
        <v>59</v>
      </c>
      <c r="C44" s="38"/>
      <c r="D44" s="121"/>
      <c r="E44" s="44"/>
      <c r="F44" s="44"/>
      <c r="G44" s="44"/>
      <c r="H44" s="33"/>
      <c r="I44" s="34"/>
      <c r="J44" s="35"/>
      <c r="K44" s="36"/>
      <c r="L44" s="36"/>
      <c r="M44" s="37"/>
      <c r="N44" s="28">
        <v>1.0</v>
      </c>
      <c r="O44" s="29">
        <v>1.0</v>
      </c>
      <c r="P44" s="40"/>
      <c r="Q44" s="41"/>
      <c r="R44" s="41"/>
      <c r="S44" s="41"/>
      <c r="T44" s="31">
        <v>1.0</v>
      </c>
    </row>
    <row r="45" ht="22.5" customHeight="1">
      <c r="B45" s="17"/>
      <c r="C45" s="38"/>
      <c r="D45" s="121"/>
      <c r="E45" s="44"/>
      <c r="F45" s="44"/>
      <c r="G45" s="44"/>
      <c r="H45" s="33"/>
      <c r="I45" s="34"/>
      <c r="J45" s="35"/>
      <c r="K45" s="36"/>
      <c r="L45" s="36"/>
      <c r="M45" s="37"/>
      <c r="N45" s="38"/>
      <c r="O45" s="39"/>
      <c r="P45" s="40"/>
      <c r="Q45" s="41"/>
      <c r="R45" s="41"/>
      <c r="S45" s="41"/>
      <c r="T45" s="41"/>
    </row>
    <row r="46" ht="22.5" customHeight="1">
      <c r="B46" s="54" t="s">
        <v>60</v>
      </c>
      <c r="C46" s="38"/>
      <c r="D46" s="121"/>
      <c r="E46" s="44"/>
      <c r="F46" s="44"/>
      <c r="G46" s="44"/>
      <c r="H46" s="33"/>
      <c r="I46" s="34"/>
      <c r="J46" s="35"/>
      <c r="K46" s="36"/>
      <c r="L46" s="36"/>
      <c r="M46" s="37"/>
      <c r="N46" s="38"/>
      <c r="O46" s="39"/>
      <c r="P46" s="30">
        <v>1.0</v>
      </c>
      <c r="Q46" s="31">
        <v>1.0</v>
      </c>
      <c r="R46" s="31">
        <v>1.0</v>
      </c>
      <c r="S46" s="31">
        <v>1.0</v>
      </c>
      <c r="T46" s="31">
        <v>1.0</v>
      </c>
    </row>
    <row r="47" ht="22.5" customHeight="1">
      <c r="B47" s="54" t="s">
        <v>61</v>
      </c>
      <c r="C47" s="38"/>
      <c r="D47" s="121"/>
      <c r="E47" s="44"/>
      <c r="F47" s="44"/>
      <c r="G47" s="44"/>
      <c r="H47" s="33"/>
      <c r="I47" s="34"/>
      <c r="J47" s="35"/>
      <c r="K47" s="36"/>
      <c r="L47" s="36"/>
      <c r="M47" s="37"/>
      <c r="N47" s="38"/>
      <c r="O47" s="39"/>
      <c r="P47" s="30">
        <v>1.0</v>
      </c>
      <c r="Q47" s="31">
        <v>1.0</v>
      </c>
      <c r="R47" s="31">
        <v>1.0</v>
      </c>
      <c r="S47" s="31">
        <v>1.0</v>
      </c>
      <c r="T47" s="31">
        <v>1.0</v>
      </c>
    </row>
    <row r="48" ht="22.5" customHeight="1">
      <c r="B48" s="54" t="s">
        <v>62</v>
      </c>
      <c r="C48" s="38"/>
      <c r="D48" s="121"/>
      <c r="E48" s="44"/>
      <c r="F48" s="44"/>
      <c r="G48" s="44"/>
      <c r="H48" s="33"/>
      <c r="I48" s="34"/>
      <c r="J48" s="35"/>
      <c r="K48" s="36"/>
      <c r="L48" s="36"/>
      <c r="M48" s="37"/>
      <c r="N48" s="38"/>
      <c r="O48" s="39"/>
      <c r="P48" s="30"/>
      <c r="Q48" s="31"/>
      <c r="R48" s="31"/>
      <c r="S48" s="31"/>
      <c r="T48" s="31">
        <v>2.0</v>
      </c>
    </row>
    <row r="49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</row>
    <row r="50">
      <c r="B50" s="57" t="s">
        <v>63</v>
      </c>
      <c r="C50" s="57">
        <v>0.0</v>
      </c>
      <c r="D50" s="57">
        <v>0.0</v>
      </c>
      <c r="E50" s="57">
        <v>0.0</v>
      </c>
      <c r="F50" s="57">
        <v>0.0</v>
      </c>
      <c r="G50" s="57">
        <v>0.0</v>
      </c>
      <c r="H50" s="57">
        <v>0.0</v>
      </c>
      <c r="I50" s="57">
        <v>0.0</v>
      </c>
      <c r="J50" s="57">
        <v>0.0</v>
      </c>
      <c r="K50" s="57">
        <v>0.0</v>
      </c>
      <c r="L50" s="57">
        <v>0.0</v>
      </c>
      <c r="M50" s="57">
        <v>0.0</v>
      </c>
      <c r="N50" s="57">
        <v>0.0</v>
      </c>
      <c r="O50" s="57">
        <v>0.0</v>
      </c>
      <c r="P50" s="57">
        <v>0.0</v>
      </c>
      <c r="Q50" s="57">
        <v>0.0</v>
      </c>
      <c r="R50" s="57">
        <v>0.0</v>
      </c>
      <c r="S50" s="57">
        <v>0.0</v>
      </c>
      <c r="T50" s="57">
        <v>0.0</v>
      </c>
    </row>
    <row r="51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</row>
    <row r="52">
      <c r="B52" s="56"/>
      <c r="F52" s="69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</row>
    <row r="53">
      <c r="B53" s="9"/>
      <c r="C53" s="122" t="s">
        <v>64</v>
      </c>
      <c r="D53" s="72"/>
      <c r="E53" s="123" t="s">
        <v>65</v>
      </c>
      <c r="F53" s="60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</row>
    <row r="54" ht="22.5" customHeight="1">
      <c r="B54" s="15" t="s">
        <v>7</v>
      </c>
      <c r="C54" s="15" t="s">
        <v>27</v>
      </c>
      <c r="D54" s="15" t="s">
        <v>28</v>
      </c>
      <c r="E54" s="15" t="s">
        <v>122</v>
      </c>
      <c r="F54" s="60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</row>
    <row r="55" ht="22.5" customHeight="1">
      <c r="B55" s="89" t="s">
        <v>67</v>
      </c>
      <c r="C55" s="124">
        <v>3.0</v>
      </c>
      <c r="D55" s="125"/>
      <c r="E55" s="12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</row>
    <row r="56" ht="22.5" customHeight="1">
      <c r="B56" s="89" t="s">
        <v>69</v>
      </c>
      <c r="C56" s="28">
        <v>3.0</v>
      </c>
      <c r="D56" s="21"/>
      <c r="E56" s="34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</row>
    <row r="57" ht="22.5" customHeight="1">
      <c r="B57" s="89" t="s">
        <v>71</v>
      </c>
      <c r="C57" s="28">
        <v>3.0</v>
      </c>
      <c r="D57" s="44"/>
      <c r="E57" s="34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</row>
    <row r="58" ht="22.5" customHeight="1">
      <c r="B58" s="89" t="s">
        <v>74</v>
      </c>
      <c r="C58" s="28">
        <v>3.0</v>
      </c>
      <c r="D58" s="44"/>
      <c r="E58" s="34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</row>
    <row r="59" ht="22.5" customHeight="1">
      <c r="B59" s="89" t="s">
        <v>75</v>
      </c>
      <c r="C59" s="28">
        <v>3.0</v>
      </c>
      <c r="D59" s="44"/>
      <c r="E59" s="34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</row>
    <row r="60" ht="22.5" customHeight="1">
      <c r="B60" s="89" t="s">
        <v>76</v>
      </c>
      <c r="C60" s="28">
        <v>3.0</v>
      </c>
      <c r="D60" s="44"/>
      <c r="E60" s="34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</row>
    <row r="61" ht="22.5" customHeight="1">
      <c r="B61" s="89" t="s">
        <v>77</v>
      </c>
      <c r="C61" s="28">
        <v>3.0</v>
      </c>
      <c r="D61" s="44"/>
      <c r="E61" s="34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</row>
    <row r="62" ht="22.5" customHeight="1">
      <c r="B62" s="89" t="s">
        <v>79</v>
      </c>
      <c r="C62" s="28">
        <v>3.0</v>
      </c>
      <c r="D62" s="44"/>
      <c r="E62" s="34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</row>
    <row r="63" ht="22.5" customHeight="1">
      <c r="B63" s="89" t="s">
        <v>40</v>
      </c>
      <c r="C63" s="28">
        <v>300.0</v>
      </c>
      <c r="D63" s="44"/>
      <c r="E63" s="24">
        <v>200.0</v>
      </c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</row>
    <row r="64" ht="22.5" customHeight="1">
      <c r="B64" s="89"/>
      <c r="C64" s="38"/>
      <c r="D64" s="44"/>
      <c r="E64" s="34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</row>
    <row r="65" ht="22.5" customHeight="1">
      <c r="B65" s="89" t="s">
        <v>80</v>
      </c>
      <c r="C65" s="38"/>
      <c r="D65" s="21">
        <v>3.0</v>
      </c>
      <c r="E65" s="34"/>
      <c r="F65" s="56"/>
    </row>
    <row r="66" ht="22.5" customHeight="1">
      <c r="B66" s="89" t="s">
        <v>81</v>
      </c>
      <c r="C66" s="38"/>
      <c r="D66" s="21">
        <v>3.0</v>
      </c>
      <c r="E66" s="34"/>
      <c r="F66" s="56"/>
    </row>
    <row r="67" ht="22.5" customHeight="1">
      <c r="B67" s="89" t="s">
        <v>82</v>
      </c>
      <c r="C67" s="38"/>
      <c r="D67" s="21">
        <v>3.0</v>
      </c>
      <c r="E67" s="34"/>
      <c r="F67" s="103"/>
    </row>
    <row r="68" ht="22.5" customHeight="1">
      <c r="B68" s="89" t="s">
        <v>83</v>
      </c>
      <c r="C68" s="38"/>
      <c r="D68" s="21">
        <v>3.0</v>
      </c>
      <c r="E68" s="34"/>
      <c r="F68" s="103"/>
    </row>
    <row r="69" ht="22.5" customHeight="1">
      <c r="B69" s="89" t="s">
        <v>84</v>
      </c>
      <c r="C69" s="38"/>
      <c r="D69" s="21">
        <v>3.0</v>
      </c>
      <c r="E69" s="34"/>
      <c r="F69" s="103"/>
    </row>
    <row r="70" ht="22.5" customHeight="1">
      <c r="B70" s="89" t="s">
        <v>85</v>
      </c>
      <c r="C70" s="38"/>
      <c r="D70" s="21">
        <v>3.0</v>
      </c>
      <c r="E70" s="34"/>
      <c r="F70" s="103"/>
    </row>
    <row r="71" ht="22.5" customHeight="1">
      <c r="B71" s="89" t="s">
        <v>86</v>
      </c>
      <c r="C71" s="38"/>
      <c r="D71" s="21">
        <v>3.0</v>
      </c>
      <c r="E71" s="34"/>
      <c r="F71" s="103"/>
    </row>
    <row r="72" ht="22.5" customHeight="1">
      <c r="B72" s="89" t="s">
        <v>87</v>
      </c>
      <c r="C72" s="38"/>
      <c r="D72" s="21">
        <v>3.0</v>
      </c>
      <c r="E72" s="34"/>
      <c r="F72" s="103"/>
    </row>
    <row r="73" ht="22.5" customHeight="1">
      <c r="B73" s="89" t="s">
        <v>41</v>
      </c>
      <c r="C73" s="38"/>
      <c r="D73" s="21">
        <v>300.0</v>
      </c>
      <c r="E73" s="24">
        <v>200.0</v>
      </c>
      <c r="F73" s="103"/>
    </row>
    <row r="74" ht="22.5" customHeight="1">
      <c r="B74" s="92"/>
      <c r="C74" s="38"/>
      <c r="D74" s="44"/>
      <c r="E74" s="34"/>
      <c r="F74" s="103"/>
    </row>
    <row r="75" ht="22.5" customHeight="1">
      <c r="B75" s="89" t="s">
        <v>88</v>
      </c>
      <c r="C75" s="38"/>
      <c r="D75" s="44"/>
      <c r="E75" s="24">
        <v>1.0</v>
      </c>
      <c r="F75" s="103"/>
    </row>
    <row r="76" ht="22.5" customHeight="1">
      <c r="B76" s="15" t="s">
        <v>89</v>
      </c>
      <c r="C76" s="28">
        <v>500.0</v>
      </c>
      <c r="D76" s="21">
        <v>500.0</v>
      </c>
      <c r="E76" s="34"/>
      <c r="F76" s="103"/>
    </row>
    <row r="77" ht="22.5" customHeight="1">
      <c r="B77" s="15" t="s">
        <v>90</v>
      </c>
      <c r="C77" s="28">
        <v>500.0</v>
      </c>
      <c r="D77" s="21">
        <v>500.0</v>
      </c>
      <c r="E77" s="34"/>
      <c r="F77" s="103"/>
    </row>
    <row r="78" ht="22.5" customHeight="1">
      <c r="B78" s="15" t="s">
        <v>36</v>
      </c>
      <c r="C78" s="38"/>
      <c r="D78" s="44"/>
      <c r="E78" s="24">
        <v>500.0</v>
      </c>
      <c r="F78" s="103"/>
    </row>
    <row r="79" ht="22.5" customHeight="1">
      <c r="B79" s="15" t="s">
        <v>91</v>
      </c>
      <c r="C79" s="28">
        <v>100.0</v>
      </c>
      <c r="D79" s="21">
        <v>100.0</v>
      </c>
      <c r="E79" s="34"/>
      <c r="F79" s="103"/>
    </row>
    <row r="80" ht="22.5" customHeight="1">
      <c r="B80" s="92"/>
      <c r="C80" s="38"/>
      <c r="D80" s="44"/>
      <c r="E80" s="34"/>
      <c r="F80" s="103"/>
    </row>
    <row r="81" ht="22.5" customHeight="1">
      <c r="B81" s="127" t="s">
        <v>92</v>
      </c>
      <c r="C81" s="38"/>
      <c r="D81" s="44"/>
      <c r="E81" s="24">
        <v>5.0</v>
      </c>
      <c r="F81" s="128"/>
    </row>
    <row r="82" ht="22.5" customHeight="1">
      <c r="B82" s="127" t="s">
        <v>93</v>
      </c>
      <c r="C82" s="38"/>
      <c r="D82" s="44"/>
      <c r="E82" s="24">
        <v>5.0</v>
      </c>
      <c r="F82" s="128"/>
    </row>
    <row r="83" ht="22.5" customHeight="1">
      <c r="B83" s="127" t="s">
        <v>94</v>
      </c>
      <c r="C83" s="38"/>
      <c r="D83" s="44"/>
      <c r="E83" s="24">
        <v>5.0</v>
      </c>
      <c r="F83" s="128"/>
    </row>
    <row r="84" ht="22.5" customHeight="1">
      <c r="B84" s="127" t="s">
        <v>95</v>
      </c>
      <c r="C84" s="38"/>
      <c r="D84" s="44"/>
      <c r="E84" s="24">
        <v>5.0</v>
      </c>
      <c r="F84" s="128"/>
    </row>
    <row r="85" ht="22.5" customHeight="1">
      <c r="B85" s="127" t="s">
        <v>96</v>
      </c>
      <c r="C85" s="38"/>
      <c r="D85" s="44"/>
      <c r="E85" s="24">
        <v>5.0</v>
      </c>
      <c r="F85" s="128"/>
    </row>
    <row r="86" ht="22.5" customHeight="1">
      <c r="B86" s="127" t="s">
        <v>97</v>
      </c>
      <c r="C86" s="38"/>
      <c r="D86" s="44"/>
      <c r="E86" s="24">
        <v>5.0</v>
      </c>
      <c r="F86" s="128"/>
    </row>
    <row r="87" ht="22.5" customHeight="1">
      <c r="B87" s="127" t="s">
        <v>98</v>
      </c>
      <c r="C87" s="38"/>
      <c r="D87" s="44"/>
      <c r="E87" s="24">
        <v>5.0</v>
      </c>
      <c r="F87" s="128"/>
    </row>
    <row r="88" ht="22.5" customHeight="1">
      <c r="B88" s="15" t="s">
        <v>99</v>
      </c>
      <c r="C88" s="38"/>
      <c r="D88" s="44"/>
      <c r="E88" s="24">
        <v>5.0</v>
      </c>
      <c r="F88" s="128"/>
    </row>
    <row r="89" ht="22.5" customHeight="1">
      <c r="B89" s="15" t="s">
        <v>100</v>
      </c>
      <c r="C89" s="38"/>
      <c r="D89" s="44"/>
      <c r="E89" s="24">
        <v>5.0</v>
      </c>
      <c r="F89" s="128"/>
    </row>
    <row r="90" ht="22.5" customHeight="1">
      <c r="B90" s="15" t="s">
        <v>101</v>
      </c>
      <c r="C90" s="38"/>
      <c r="D90" s="44"/>
      <c r="E90" s="24">
        <v>5.0</v>
      </c>
      <c r="F90" s="128"/>
    </row>
    <row r="91" ht="22.5" customHeight="1">
      <c r="B91" s="15" t="s">
        <v>102</v>
      </c>
      <c r="C91" s="38"/>
      <c r="D91" s="44"/>
      <c r="E91" s="24">
        <v>5.0</v>
      </c>
      <c r="F91" s="128"/>
    </row>
    <row r="92" ht="22.5" customHeight="1">
      <c r="B92" s="15" t="s">
        <v>103</v>
      </c>
      <c r="C92" s="38"/>
      <c r="D92" s="44"/>
      <c r="E92" s="24">
        <v>5.0</v>
      </c>
      <c r="F92" s="128"/>
    </row>
    <row r="93" ht="22.5" customHeight="1">
      <c r="B93" s="15" t="s">
        <v>104</v>
      </c>
      <c r="C93" s="38"/>
      <c r="D93" s="44"/>
      <c r="E93" s="24">
        <v>5.0</v>
      </c>
      <c r="F93" s="128"/>
    </row>
    <row r="94" ht="22.5" customHeight="1">
      <c r="B94" s="15" t="s">
        <v>105</v>
      </c>
      <c r="C94" s="38"/>
      <c r="D94" s="44"/>
      <c r="E94" s="24">
        <v>5.0</v>
      </c>
      <c r="F94" s="128"/>
    </row>
    <row r="96">
      <c r="B96" s="129" t="s">
        <v>88</v>
      </c>
      <c r="C96" s="72"/>
      <c r="F96" s="57" t="s">
        <v>118</v>
      </c>
    </row>
    <row r="97" ht="22.5" customHeight="1">
      <c r="B97" s="105" t="s">
        <v>7</v>
      </c>
      <c r="C97" s="105" t="s">
        <v>88</v>
      </c>
      <c r="E97" s="105" t="s">
        <v>119</v>
      </c>
      <c r="F97" s="105" t="s">
        <v>120</v>
      </c>
    </row>
    <row r="98" ht="22.5" customHeight="1">
      <c r="B98" s="107" t="s">
        <v>108</v>
      </c>
      <c r="C98" s="108">
        <v>2.0</v>
      </c>
      <c r="E98" s="107" t="s">
        <v>90</v>
      </c>
      <c r="F98" s="130">
        <v>80.0</v>
      </c>
    </row>
    <row r="99" ht="22.5" customHeight="1">
      <c r="B99" s="107" t="s">
        <v>110</v>
      </c>
      <c r="C99" s="110">
        <v>2.0</v>
      </c>
      <c r="E99" s="107" t="s">
        <v>53</v>
      </c>
      <c r="F99" s="130">
        <v>100.0</v>
      </c>
    </row>
    <row r="100" ht="22.5" customHeight="1">
      <c r="B100" s="107" t="s">
        <v>111</v>
      </c>
      <c r="C100" s="110">
        <v>2.0</v>
      </c>
      <c r="E100" s="107" t="s">
        <v>36</v>
      </c>
      <c r="F100" s="130">
        <v>20.0</v>
      </c>
    </row>
    <row r="101" ht="22.5" customHeight="1">
      <c r="B101" s="107" t="s">
        <v>112</v>
      </c>
      <c r="C101" s="110">
        <v>2.0</v>
      </c>
      <c r="E101" s="107" t="s">
        <v>35</v>
      </c>
      <c r="F101" s="130">
        <v>5.0</v>
      </c>
    </row>
    <row r="102" ht="22.5" customHeight="1">
      <c r="B102" s="107" t="s">
        <v>113</v>
      </c>
      <c r="C102" s="110">
        <v>2.0</v>
      </c>
      <c r="E102" s="107" t="s">
        <v>52</v>
      </c>
      <c r="F102" s="130">
        <v>200.0</v>
      </c>
    </row>
    <row r="103" ht="22.5" customHeight="1">
      <c r="B103" s="107" t="s">
        <v>114</v>
      </c>
      <c r="C103" s="110">
        <v>2.0</v>
      </c>
      <c r="E103" s="107" t="s">
        <v>121</v>
      </c>
      <c r="F103" s="130">
        <v>1.0</v>
      </c>
    </row>
    <row r="104" ht="22.5" customHeight="1">
      <c r="B104" s="107" t="s">
        <v>115</v>
      </c>
      <c r="C104" s="110">
        <v>2.0</v>
      </c>
    </row>
    <row r="105" ht="22.5" customHeight="1">
      <c r="B105" s="107" t="s">
        <v>116</v>
      </c>
      <c r="C105" s="110">
        <v>2.0</v>
      </c>
    </row>
    <row r="106" ht="22.5" customHeight="1">
      <c r="B106" s="107" t="s">
        <v>117</v>
      </c>
      <c r="C106" s="114">
        <v>2.0</v>
      </c>
    </row>
  </sheetData>
  <mergeCells count="8">
    <mergeCell ref="C5:D6"/>
    <mergeCell ref="E5:G6"/>
    <mergeCell ref="H5:I6"/>
    <mergeCell ref="J5:M6"/>
    <mergeCell ref="N5:O6"/>
    <mergeCell ref="P5:T6"/>
    <mergeCell ref="C53:D53"/>
    <mergeCell ref="B96:C96"/>
  </mergeCells>
  <drawing r:id="rId1"/>
  <tableParts count="4">
    <tablePart r:id="rId6"/>
    <tablePart r:id="rId7"/>
    <tablePart r:id="rId8"/>
    <tablePart r:id="rId9"/>
  </tableParts>
</worksheet>
</file>